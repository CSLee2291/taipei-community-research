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22bf00ce3394643" /></Relationships>
</file>

<file path=xl/workbook.xml><?xml version="1.0" encoding="utf-8"?>
<x:workbook xmlns:x="http://schemas.openxmlformats.org/spreadsheetml/2006/main">
  <x:sheets>
    <x:sheet xmlns:r="http://schemas.openxmlformats.org/officeDocument/2006/relationships" name="Summary" sheetId="1" r:id="R25b8764358f749cc"/>
    <x:sheet xmlns:r="http://schemas.openxmlformats.org/officeDocument/2006/relationships" name="Activities" sheetId="2" r:id="R3991b9b587134ce9"/>
    <x:sheet xmlns:r="http://schemas.openxmlformats.org/officeDocument/2006/relationships" name="Source Audit" sheetId="3" r:id="R4d02b28559074fd3"/>
    <x:sheet xmlns:r="http://schemas.openxmlformats.org/officeDocument/2006/relationships" name="Sources" sheetId="4" r:id="R4084b466e118445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yyyy-mm-dd hh:mm"/>
    <x:numFmt numFmtId="202" formatCode="0"/>
    <x:numFmt numFmtId="203" formatCode="#,##0"/>
  </x:numFmts>
  <x:fonts count="8">
    <x:font>
      <x:sz val="11"/>
      <x:name val="Carlito"/>
    </x:font>
    <x:font>
      <x:b/>
      <x:sz val="11"/>
      <x:color rgb="FFFFFFFF"/>
      <x:name val="Carlito"/>
    </x:font>
    <x:font>
      <x:sz val="9"/>
      <x:color rgb="FF182620"/>
      <x:name val="Carlito"/>
    </x:font>
    <x:font>
      <x:b/>
      <x:sz val="18"/>
      <x:color rgb="FFFFFFFF"/>
      <x:name val="Carlito"/>
    </x:font>
    <x:font>
      <x:i/>
      <x:sz val="10"/>
      <x:color rgb="FF657069"/>
      <x:name val="Carlito"/>
    </x:font>
    <x:font>
      <x:b/>
      <x:sz val="10"/>
      <x:color rgb="FFFFFFFF"/>
      <x:name val="Carlito"/>
    </x:font>
    <x:font>
      <x:b/>
      <x:sz val="24"/>
      <x:color rgb="FF0D443A"/>
      <x:name val="Carlito"/>
    </x:font>
    <x:font>
      <x:sz val="10"/>
      <x:color rgb="FF657069"/>
      <x:name val="Carlito"/>
    </x:font>
  </x:fonts>
  <x:fills count="9">
    <x:fill>
      <x:patternFill patternType="none"/>
    </x:fill>
    <x:fill>
      <x:patternFill patternType="gray125"/>
    </x:fill>
    <x:fill>
      <x:patternFill patternType="solid">
        <x:fgColor rgb="FF0D443A"/>
      </x:patternFill>
    </x:fill>
    <x:fill>
      <x:patternFill patternType="solid">
        <x:fgColor rgb="FFFFFDF8"/>
      </x:patternFill>
    </x:fill>
    <x:fill>
      <x:patternFill patternType="solid">
        <x:fgColor rgb="FFE8E2D6"/>
      </x:patternFill>
    </x:fill>
    <x:fill>
      <x:patternFill patternType="solid">
        <x:fgColor rgb="FF145C4F"/>
      </x:patternFill>
    </x:fill>
    <x:fill>
      <x:patternFill patternType="solid">
        <x:fgColor rgb="FFC6922C"/>
      </x:patternFill>
    </x:fill>
    <x:fill>
      <x:patternFill patternType="solid">
        <x:fgColor rgb="FFB64E3B"/>
      </x:patternFill>
    </x:fill>
    <x:fill>
      <x:patternFill patternType="solid">
        <x:fgColor rgb="FFF8F3E9"/>
      </x:patternFill>
    </x:fill>
  </x:fills>
  <x:borders count="14">
    <x:border/>
    <x:border>
      <x:right style="thin">
        <x:color rgb="FF5F847B"/>
      </x:right>
    </x:border>
    <x:border>
      <x:left style="thin">
        <x:color rgb="FF5F847B"/>
      </x:left>
      <x:right style="thin">
        <x:color rgb="FF5F847B"/>
      </x:right>
    </x:border>
    <x:border>
      <x:left style="thin">
        <x:color rgb="FF5F847B"/>
      </x:left>
    </x:border>
    <x:border>
      <x:bottom style="thin">
        <x:color rgb="FFD6CFC3"/>
      </x:bottom>
    </x:border>
    <x:border>
      <x:top style="thin">
        <x:color rgb="FFD6CFC3"/>
      </x:top>
      <x:bottom style="thin">
        <x:color rgb="FFD6CFC3"/>
      </x:bottom>
    </x:border>
    <x:border>
      <x:top style="thin">
        <x:color rgb="FFD6CFC3"/>
      </x:top>
    </x:border>
    <x:border>
      <x:left style="thin">
        <x:color rgb="FFD6CFC3"/>
      </x:left>
      <x:top style="thin">
        <x:color rgb="FFD6CFC3"/>
      </x:top>
    </x:border>
    <x:border>
      <x:right style="thin">
        <x:color rgb="FFD6CFC3"/>
      </x:right>
      <x:top style="thin">
        <x:color rgb="FFD6CFC3"/>
      </x:top>
    </x:border>
    <x:border>
      <x:left style="thin">
        <x:color rgb="FFD6CFC3"/>
      </x:left>
      <x:bottom style="thin">
        <x:color rgb="FFD6CFC3"/>
      </x:bottom>
    </x:border>
    <x:border>
      <x:right style="thin">
        <x:color rgb="FFD6CFC3"/>
      </x:right>
      <x:bottom style="thin">
        <x:color rgb="FFD6CFC3"/>
      </x:bottom>
    </x:border>
    <x:border>
      <x:left style="thin">
        <x:color rgb="FFD6CFC3"/>
      </x:left>
      <x:right style="thin">
        <x:color rgb="FFD6CFC3"/>
      </x:right>
      <x:top style="thin">
        <x:color rgb="FFD6CFC3"/>
      </x:top>
      <x:bottom style="thin">
        <x:color rgb="FFD6CFC3"/>
      </x:bottom>
    </x:border>
    <x:border>
      <x:left style="thin">
        <x:color rgb="FFD6CFC3"/>
      </x:left>
    </x:border>
    <x:border>
      <x:right style="thin">
        <x:color rgb="FFD6CFC3"/>
      </x:right>
    </x:border>
  </x:borders>
  <x:cellStyleXfs count="1">
    <x:xf numFmtId="0" fontId="0" fillId="0" borderId="0"/>
  </x:cellStyleXfs>
  <x:cellXfs count="11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3" borderId="0" xfId="0" applyNumberFormat="1" applyFont="1" applyFill="1" applyBorder="1"/>
    <x:xf numFmtId="0" fontId="0" fillId="3" borderId="0"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x:xf numFmtId="0" fontId="2" fillId="3" borderId="0" xfId="0" applyNumberFormat="1" applyFont="1" applyFill="1" applyBorder="1">
      <x:extLst>
        <x:ext uri="{C7286773-470A-42A8-94C5-96B5CB345126}">
          <xfpb:xfComplement xmlns:xfpb="http://schemas.microsoft.com/office/spreadsheetml/2022/featurepropertybag" i="0"/>
        </x:ext>
      </x:extLst>
    </x:xf>
    <x:xf numFmtId="0" fontId="2" fillId="3" borderId="4" xfId="0" applyNumberFormat="1" applyFont="1" applyFill="1" applyBorder="1"/>
    <x:xf numFmtId="0" fontId="2" fillId="3" borderId="4" xfId="0" applyNumberFormat="1" applyFont="1" applyFill="1" applyBorder="1">
      <x:extLst>
        <x:ext uri="{C7286773-470A-42A8-94C5-96B5CB345126}">
          <xfpb:xfComplement xmlns:xfpb="http://schemas.microsoft.com/office/spreadsheetml/2022/featurepropertybag" i="0"/>
        </x:ext>
      </x:extLst>
    </x:xf>
    <x:xf numFmtId="0" fontId="2" fillId="3" borderId="5" xfId="0" applyNumberFormat="1" applyFont="1" applyFill="1" applyBorder="1"/>
    <x:xf numFmtId="0" fontId="2" fillId="3" borderId="5" xfId="0" applyNumberFormat="1" applyFont="1" applyFill="1" applyBorder="1">
      <x:extLst>
        <x:ext uri="{C7286773-470A-42A8-94C5-96B5CB345126}">
          <xfpb:xfComplement xmlns:xfpb="http://schemas.microsoft.com/office/spreadsheetml/2022/featurepropertybag" i="0"/>
        </x:ext>
      </x:extLst>
    </x:xf>
    <x:xf numFmtId="0" fontId="2" fillId="3" borderId="6" xfId="0" applyNumberFormat="1" applyFont="1" applyFill="1" applyBorder="1"/>
    <x:xf numFmtId="0" fontId="2" fillId="3" borderId="6" xfId="0" applyNumberFormat="1" applyFont="1" applyFill="1" applyBorder="1">
      <x:extLst>
        <x:ext uri="{C7286773-470A-42A8-94C5-96B5CB345126}">
          <xfpb:xfComplement xmlns:xfpb="http://schemas.microsoft.com/office/spreadsheetml/2022/featurepropertybag" i="0"/>
        </x:ext>
      </x:extLst>
    </x:xf>
    <x:xf numFmtId="0" fontId="2" fillId="3" borderId="4" xfId="0" applyNumberFormat="1" applyFont="1" applyFill="1" applyBorder="1" applyAlignment="1">
      <x:alignment vertical="top"/>
    </x:xf>
    <x:xf numFmtId="0" fontId="2" fillId="3" borderId="4"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3" borderId="5" xfId="0" applyNumberFormat="1" applyFont="1" applyFill="1" applyBorder="1" applyAlignment="1">
      <x:alignment vertical="top"/>
    </x:xf>
    <x:xf numFmtId="0" fontId="2" fillId="3" borderId="5"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3" borderId="6" xfId="0" applyNumberFormat="1" applyFont="1" applyFill="1" applyBorder="1" applyAlignment="1">
      <x:alignment vertical="top"/>
    </x:xf>
    <x:xf numFmtId="0" fontId="2" fillId="3" borderId="6"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2" fillId="3" borderId="4" xfId="0" applyNumberFormat="1" applyFont="1" applyFill="1" applyBorder="1" applyAlignment="1">
      <x:alignment vertical="top"/>
    </x:xf>
    <x:xf numFmtId="200" fontId="2" fillId="3" borderId="5" xfId="0" applyNumberFormat="1" applyFont="1" applyFill="1" applyBorder="1" applyAlignment="1">
      <x:alignment vertical="top"/>
    </x:xf>
    <x:xf numFmtId="200" fontId="2" fillId="3" borderId="6" xfId="0" applyNumberFormat="1" applyFont="1" applyFill="1" applyBorder="1" applyAlignment="1">
      <x:alignment vertical="top"/>
    </x:xf>
    <x:xf numFmtId="201" fontId="2" fillId="3" borderId="4" xfId="0" applyNumberFormat="1" applyFont="1" applyFill="1" applyBorder="1" applyAlignment="1">
      <x:alignment vertical="top"/>
    </x:xf>
    <x:xf numFmtId="201" fontId="2" fillId="3" borderId="5" xfId="0" applyNumberFormat="1" applyFont="1" applyFill="1" applyBorder="1" applyAlignment="1">
      <x:alignment vertical="top"/>
    </x:xf>
    <x:xf numFmtId="201" fontId="2" fillId="3" borderId="6" xfId="0" applyNumberFormat="1" applyFont="1" applyFill="1" applyBorder="1" applyAlignment="1">
      <x:alignment vertical="top"/>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202" fontId="2" fillId="3" borderId="4" xfId="0" applyNumberFormat="1" applyFont="1" applyFill="1" applyBorder="1" applyAlignment="1">
      <x:alignment vertical="top"/>
    </x:xf>
    <x:xf numFmtId="202" fontId="2" fillId="3" borderId="5" xfId="0" applyNumberFormat="1" applyFont="1" applyFill="1" applyBorder="1" applyAlignment="1">
      <x:alignment vertical="top"/>
    </x:xf>
    <x:xf numFmtId="202" fontId="2" fillId="3" borderId="6" xfId="0" applyNumberFormat="1" applyFont="1" applyFill="1" applyBorder="1" applyAlignment="1">
      <x:alignment vertical="top"/>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6" fillId="3" borderId="0" xfId="0" applyNumberFormat="1" applyFont="1" applyFill="1" applyBorder="1"/>
    <x:xf numFmtId="0" fontId="6" fillId="3" borderId="7" xfId="0" applyNumberFormat="1" applyFont="1" applyFill="1" applyBorder="1"/>
    <x:xf numFmtId="0" fontId="6" fillId="3" borderId="6" xfId="0" applyNumberFormat="1" applyFont="1" applyFill="1" applyBorder="1"/>
    <x:xf numFmtId="0" fontId="6" fillId="3" borderId="8" xfId="0" applyNumberFormat="1" applyFont="1" applyFill="1" applyBorder="1"/>
    <x:xf numFmtId="0" fontId="6" fillId="3" borderId="9" xfId="0" applyNumberFormat="1" applyFont="1" applyFill="1" applyBorder="1"/>
    <x:xf numFmtId="0" fontId="6" fillId="3" borderId="4" xfId="0" applyNumberFormat="1" applyFont="1" applyFill="1" applyBorder="1"/>
    <x:xf numFmtId="0" fontId="6" fillId="3" borderId="10" xfId="0" applyNumberFormat="1" applyFont="1" applyFill="1" applyBorder="1"/>
    <x:xf numFmtId="203" fontId="6" fillId="3" borderId="7" xfId="0" applyNumberFormat="1" applyFont="1" applyFill="1" applyBorder="1"/>
    <x:xf numFmtId="203" fontId="6" fillId="3" borderId="6" xfId="0" applyNumberFormat="1" applyFont="1" applyFill="1" applyBorder="1"/>
    <x:xf numFmtId="203" fontId="6" fillId="3" borderId="8" xfId="0" applyNumberFormat="1" applyFont="1" applyFill="1" applyBorder="1"/>
    <x:xf numFmtId="203" fontId="6" fillId="3" borderId="9" xfId="0" applyNumberFormat="1" applyFont="1" applyFill="1" applyBorder="1"/>
    <x:xf numFmtId="203" fontId="6" fillId="3" borderId="4" xfId="0" applyNumberFormat="1" applyFont="1" applyFill="1" applyBorder="1"/>
    <x:xf numFmtId="203" fontId="6" fillId="3" borderId="10" xfId="0" applyNumberFormat="1" applyFont="1" applyFill="1" applyBorder="1"/>
    <x:xf numFmtId="203" fontId="6" fillId="3" borderId="7" xfId="0" applyNumberFormat="1" applyFont="1" applyFill="1" applyBorder="1" applyAlignment="1">
      <x:alignment horizontal="center"/>
    </x:xf>
    <x:xf numFmtId="203" fontId="6" fillId="3" borderId="6" xfId="0" applyNumberFormat="1" applyFont="1" applyFill="1" applyBorder="1" applyAlignment="1">
      <x:alignment horizontal="center"/>
    </x:xf>
    <x:xf numFmtId="203" fontId="6" fillId="3" borderId="8" xfId="0" applyNumberFormat="1" applyFont="1" applyFill="1" applyBorder="1" applyAlignment="1">
      <x:alignment horizontal="center"/>
    </x:xf>
    <x:xf numFmtId="203" fontId="6" fillId="3" borderId="9" xfId="0" applyNumberFormat="1" applyFont="1" applyFill="1" applyBorder="1" applyAlignment="1">
      <x:alignment horizontal="center"/>
    </x:xf>
    <x:xf numFmtId="203" fontId="6" fillId="3" borderId="4" xfId="0" applyNumberFormat="1" applyFont="1" applyFill="1" applyBorder="1" applyAlignment="1">
      <x:alignment horizontal="center"/>
    </x:xf>
    <x:xf numFmtId="203" fontId="6" fillId="3" borderId="10" xfId="0" applyNumberFormat="1" applyFont="1" applyFill="1" applyBorder="1" applyAlignment="1">
      <x:alignment horizontal="center"/>
    </x:xf>
    <x:xf numFmtId="203" fontId="6" fillId="3" borderId="7" xfId="0" applyNumberFormat="1" applyFont="1" applyFill="1" applyBorder="1" applyAlignment="1">
      <x:alignment horizontal="center" vertical="center"/>
    </x:xf>
    <x:xf numFmtId="203" fontId="6" fillId="3" borderId="6" xfId="0" applyNumberFormat="1" applyFont="1" applyFill="1" applyBorder="1" applyAlignment="1">
      <x:alignment horizontal="center" vertical="center"/>
    </x:xf>
    <x:xf numFmtId="203" fontId="6" fillId="3" borderId="8" xfId="0" applyNumberFormat="1" applyFont="1" applyFill="1" applyBorder="1" applyAlignment="1">
      <x:alignment horizontal="center" vertical="center"/>
    </x:xf>
    <x:xf numFmtId="203" fontId="6" fillId="3" borderId="9" xfId="0" applyNumberFormat="1" applyFont="1" applyFill="1" applyBorder="1" applyAlignment="1">
      <x:alignment horizontal="center" vertical="center"/>
    </x:xf>
    <x:xf numFmtId="203" fontId="6" fillId="3" borderId="4" xfId="0" applyNumberFormat="1" applyFont="1" applyFill="1" applyBorder="1" applyAlignment="1">
      <x:alignment horizontal="center" vertical="center"/>
    </x:xf>
    <x:xf numFmtId="203" fontId="6" fillId="3" borderId="10" xfId="0" applyNumberFormat="1" applyFont="1" applyFill="1" applyBorder="1" applyAlignment="1">
      <x:alignment horizontal="center" vertical="center"/>
    </x:xf>
    <x:xf numFmtId="0" fontId="0" fillId="0" borderId="11" xfId="0" applyNumberFormat="1" applyFont="1" applyFill="1" applyBorder="1"/>
    <x:xf numFmtId="0" fontId="0" fillId="6" borderId="11" xfId="0" applyNumberFormat="1" applyFont="1" applyFill="1" applyBorder="1"/>
    <x:xf numFmtId="0" fontId="1" fillId="6" borderId="11" xfId="0" applyNumberFormat="1" applyFont="1" applyFill="1" applyBorder="1"/>
    <x:xf numFmtId="0" fontId="0" fillId="7" borderId="11" xfId="0" applyNumberFormat="1" applyFont="1" applyFill="1" applyBorder="1"/>
    <x:xf numFmtId="0" fontId="1" fillId="7" borderId="11" xfId="0" applyNumberFormat="1" applyFont="1" applyFill="1" applyBorder="1"/>
    <x:xf numFmtId="0" fontId="0" fillId="3" borderId="11" xfId="0" applyNumberFormat="1" applyFont="1" applyFill="1" applyBorder="1"/>
    <x:xf numFmtId="203" fontId="0" fillId="3" borderId="11"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7" fillId="8" borderId="7" xfId="0" applyNumberFormat="1" applyFont="1" applyFill="1" applyBorder="1"/>
    <x:xf numFmtId="0" fontId="7" fillId="8" borderId="6" xfId="0" applyNumberFormat="1" applyFont="1" applyFill="1" applyBorder="1"/>
    <x:xf numFmtId="0" fontId="7" fillId="8" borderId="8" xfId="0" applyNumberFormat="1" applyFont="1" applyFill="1" applyBorder="1"/>
    <x:xf numFmtId="0" fontId="7" fillId="8" borderId="12" xfId="0" applyNumberFormat="1" applyFont="1" applyFill="1" applyBorder="1"/>
    <x:xf numFmtId="0" fontId="7" fillId="8" borderId="13" xfId="0" applyNumberFormat="1" applyFont="1" applyFill="1" applyBorder="1"/>
    <x:xf numFmtId="0" fontId="7" fillId="8" borderId="9" xfId="0" applyNumberFormat="1" applyFont="1" applyFill="1" applyBorder="1"/>
    <x:xf numFmtId="0" fontId="7" fillId="8" borderId="4" xfId="0" applyNumberFormat="1" applyFont="1" applyFill="1" applyBorder="1"/>
    <x:xf numFmtId="0" fontId="7" fillId="8" borderId="10" xfId="0" applyNumberFormat="1" applyFont="1" applyFill="1" applyBorder="1"/>
    <x:xf numFmtId="0" fontId="7" fillId="8" borderId="7" xfId="0" applyNumberFormat="1" applyFont="1" applyFill="1" applyBorder="1" applyAlignment="1">
      <x:alignment wrapText="1"/>
    </x:xf>
    <x:xf numFmtId="0" fontId="7" fillId="8" borderId="6" xfId="0" applyNumberFormat="1" applyFont="1" applyFill="1" applyBorder="1" applyAlignment="1">
      <x:alignment wrapText="1"/>
    </x:xf>
    <x:xf numFmtId="0" fontId="7" fillId="8" borderId="8" xfId="0" applyNumberFormat="1" applyFont="1" applyFill="1" applyBorder="1" applyAlignment="1">
      <x:alignment wrapText="1"/>
    </x:xf>
    <x:xf numFmtId="0" fontId="7" fillId="8" borderId="12" xfId="0" applyNumberFormat="1" applyFont="1" applyFill="1" applyBorder="1" applyAlignment="1">
      <x:alignment wrapText="1"/>
    </x:xf>
    <x:xf numFmtId="0" fontId="7" fillId="8" borderId="0" xfId="0" applyNumberFormat="1" applyFont="1" applyFill="1" applyBorder="1" applyAlignment="1">
      <x:alignment wrapText="1"/>
    </x:xf>
    <x:xf numFmtId="0" fontId="7" fillId="8" borderId="13" xfId="0" applyNumberFormat="1" applyFont="1" applyFill="1" applyBorder="1" applyAlignment="1">
      <x:alignment wrapText="1"/>
    </x:xf>
    <x:xf numFmtId="0" fontId="7" fillId="8" borderId="9" xfId="0" applyNumberFormat="1" applyFont="1" applyFill="1" applyBorder="1" applyAlignment="1">
      <x:alignment wrapText="1"/>
    </x:xf>
    <x:xf numFmtId="0" fontId="7" fillId="8" borderId="4" xfId="0" applyNumberFormat="1" applyFont="1" applyFill="1" applyBorder="1" applyAlignment="1">
      <x:alignment wrapText="1"/>
    </x:xf>
    <x:xf numFmtId="0" fontId="7" fillId="8" borderId="10" xfId="0" applyNumberFormat="1" applyFont="1" applyFill="1" applyBorder="1" applyAlignment="1">
      <x:alignment wrapText="1"/>
    </x:xf>
    <x:xf numFmtId="0" fontId="7" fillId="8" borderId="7"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7" fillId="8" borderId="8" xfId="0" applyNumberFormat="1" applyFont="1" applyFill="1" applyBorder="1" applyAlignment="1">
      <x:alignment vertical="top" wrapText="1"/>
    </x:xf>
    <x:xf numFmtId="0" fontId="7" fillId="8" borderId="12"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8" borderId="13" xfId="0" applyNumberFormat="1" applyFont="1" applyFill="1" applyBorder="1" applyAlignment="1">
      <x:alignment vertical="top" wrapText="1"/>
    </x:xf>
    <x:xf numFmtId="0" fontId="7" fillId="8" borderId="9"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7" fillId="8" borderId="1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51d4490c974496" /><Relationship Type="http://schemas.openxmlformats.org/officeDocument/2006/relationships/theme" Target="/xl/theme/theme1.xml" Id="R25dfbe9a36c04066" /><Relationship Type="http://schemas.microsoft.com/office/2022/11/relationships/FeaturePropertyBag" Target="/xl/featurePropertyBag/featurePropertyBag.xml" Id="R11572db70c6d4f14" /><Relationship Type="http://schemas.openxmlformats.org/officeDocument/2006/relationships/sharedStrings" Target="/xl/sharedStrings.xml" Id="R250ea98a63e84360" /><Relationship Type="http://schemas.openxmlformats.org/officeDocument/2006/relationships/worksheet" Target="/xl/worksheets/sheet1.xml" Id="R25b8764358f749cc" /><Relationship Type="http://schemas.openxmlformats.org/officeDocument/2006/relationships/worksheet" Target="/xl/worksheets/sheet2.xml" Id="R3991b9b587134ce9" /><Relationship Type="http://schemas.openxmlformats.org/officeDocument/2006/relationships/worksheet" Target="/xl/worksheets/sheet3.xml" Id="R4d02b28559074fd3" /><Relationship Type="http://schemas.openxmlformats.org/officeDocument/2006/relationships/worksheet" Target="/xl/worksheets/sheet4.xml" Id="R4084b466e1184459" /></Relationships>
</file>

<file path=xl/drawings/_rels/drawing1.xml.rels>&#65279;<?xml version="1.0" encoding="utf-8"?><Relationships xmlns="http://schemas.openxmlformats.org/package/2006/relationships"><Relationship Type="http://schemas.openxmlformats.org/officeDocument/2006/relationships/chart" Target="/xl/drawings/charts/chart1.xml" Id="Rf59ee09cdaf7438e" /><Relationship Type="http://schemas.openxmlformats.org/officeDocument/2006/relationships/chart" Target="/xl/drawings/charts/chart2.xml" Id="R4821afe146f24d0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年度核定方案紀錄數</a:t>
            </a:r>
          </a:p>
        </c:rich>
      </c:tx>
    </c:title>
    <c:plotArea>
      <c:barChart>
        <c:barDir val="col"/>
        <c:varyColors val="0"/>
        <c:ser>
          <c:idx val="0"/>
          <c:order val="0"/>
          <c:tx>
            <c:v>核定方案紀錄</c:v>
          </c:tx>
          <c:cat>
            <c:strRef>
              <c:f>'Summary'!$A$9:$A$12</c:f>
              <c:strCache>
                <c:ptCount val="0"/>
              </c:strCache>
            </c:strRef>
          </c:cat>
          <c:val>
            <c:numRef>
              <c:f>'Summary'!$B$9:$B$12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活動類型分布（含 0）</a:t>
            </a:r>
          </a:p>
        </c:rich>
      </c:tx>
    </c:title>
    <c:plotArea>
      <c:barChart>
        <c:barDir val="col"/>
        <c:varyColors val="0"/>
        <c:ser>
          <c:idx val="0"/>
          <c:order val="0"/>
          <c:tx>
            <c:v>紀錄數</c:v>
          </c:tx>
          <c:cat>
            <c:strRef>
              <c:f>'Summary'!$D$9:$D$20</c:f>
              <c:strCache>
                <c:ptCount val="0"/>
              </c:strCache>
            </c:strRef>
          </c:cat>
          <c:val>
            <c:numRef>
              <c:f>'Summary'!$E$9:$E$20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9ee09cdaf7438e"/>
        </a:graphicData>
      </a:graphic>
    </xdr:graphicFrame>
    <xdr:clientData/>
  </xdr:twoCellAnchor>
  <xdr:twoCellAnchor>
    <xdr:from>
      <xdr:col>6</xdr:col>
      <xdr:colOff>0</xdr:colOff>
      <xdr:row>12</xdr:row>
      <xdr:rowOff>0</xdr:rowOff>
    </xdr:from>
    <xdr:to>
      <xdr:col>14</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21afe146f24d0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ctivitiesTable" displayName="ActivitiesTable" ref="A1:X51" headerRowCount="1" totalsRowCount="0" totalsRowShown="0">
  <x:tableColumns count="24">
    <x:tableColumn id="1" name="activity_id"/>
    <x:tableColumn id="2" name="community_id"/>
    <x:tableColumn id="3" name="activity_name_zh"/>
    <x:tableColumn id="4" name="activity_type_code"/>
    <x:tableColumn id="5" name="description_zh"/>
    <x:tableColumn id="6" name="start_date"/>
    <x:tableColumn id="7" name="end_date"/>
    <x:tableColumn id="8" name="recurring"/>
    <x:tableColumn id="9" name="venue_name_zh"/>
    <x:tableColumn id="10" name="address_zh"/>
    <x:tableColumn id="11" name="participant_count"/>
    <x:tableColumn id="12" name="target_groups"/>
    <x:tableColumn id="13" name="evidence_level"/>
    <x:tableColumn id="14" name="source_title"/>
    <x:tableColumn id="15" name="source_url"/>
    <x:tableColumn id="16" name="source_accessed_on"/>
    <x:tableColumn id="17" name="record_status"/>
    <x:tableColumn id="18" name="data_quality_flag"/>
    <x:tableColumn id="19" name="is_example"/>
    <x:tableColumn id="20" name="created_at"/>
    <x:tableColumn id="21" name="updated_at"/>
    <x:tableColumn id="22" name="schema_version"/>
    <x:tableColumn id="23" name="notes"/>
    <x:tableColumn id="24" name="activity_year_check"/>
  </x:tableColumns>
  <x:tableStyleInfo name="TableStyleMedium2" showFirstColumn="0" showLastColumn="0" showRowStripes="1" showColumnStripes="0"/>
</x:table>
</file>

<file path=xl/tables/table2.xml><?xml version="1.0" encoding="utf-8"?>
<x:table xmlns:x="http://schemas.openxmlformats.org/spreadsheetml/2006/main" id="2" name="SourceAuditTable" displayName="SourceAuditTable" ref="A1:I34" headerRowCount="1" totalsRowCount="0" totalsRowShown="0">
  <x:tableColumns count="9">
    <x:tableColumn id="1" name="community_id"/>
    <x:tableColumn id="2" name="association_name_zh"/>
    <x:tableColumn id="3" name="government_activity_record_count"/>
    <x:tableColumn id="4" name="government_activity_years"/>
    <x:tableColumn id="5" name="government_service_url"/>
    <x:tableColumn id="6" name="official_website_url"/>
    <x:tableColumn id="7" name="official_facebook_url"/>
    <x:tableColumn id="8" name="self_managed_source_status"/>
    <x:tableColumn id="9" name="todo"/>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1:E11" headerRowCount="1" totalsRowCount="0" totalsRowShown="0">
  <x:tableColumns count="5">
    <x:tableColumn id="1" name="source_key"/>
    <x:tableColumn id="2" name="year"/>
    <x:tableColumn id="3" name="publisher"/>
    <x:tableColumn id="4" name="title"/>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9013f9d74614599" /></Relationships>
</file>

<file path=xl/worksheets/_rels/sheet2.xml.rels>&#65279;<?xml version="1.0" encoding="utf-8"?><Relationships xmlns="http://schemas.openxmlformats.org/package/2006/relationships"><Relationship Type="http://schemas.openxmlformats.org/officeDocument/2006/relationships/table" Target="/xl/tables/table1.xml" Id="Rc268eb12a5ca4427" /></Relationships>
</file>

<file path=xl/worksheets/_rels/sheet3.xml.rels>&#65279;<?xml version="1.0" encoding="utf-8"?><Relationships xmlns="http://schemas.openxmlformats.org/package/2006/relationships"><Relationship Type="http://schemas.openxmlformats.org/officeDocument/2006/relationships/table" Target="/xl/tables/table2.xml" Id="R8dceaf3fa98b4d7f" /></Relationships>
</file>

<file path=xl/worksheets/_rels/sheet4.xml.rels>&#65279;<?xml version="1.0" encoding="utf-8"?><Relationships xmlns="http://schemas.openxmlformats.org/package/2006/relationships"><Relationship Type="http://schemas.openxmlformats.org/officeDocument/2006/relationships/table" Target="/xl/tables/table3.xml" Id="R6d0237bb073e4df2"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4"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34" customHeight="1">
      <x:c r="A1" s="45" t="str">
        <x:v>萬華區 2023–2026 社區活動核定方案檢閱</x:v>
      </x:c>
      <x:c r="B1" s="45"/>
      <x:c r="C1" s="45"/>
      <x:c r="D1" s="45"/>
      <x:c r="E1" s="45"/>
      <x:c r="F1" s="45"/>
      <x:c r="G1" s="45"/>
      <x:c r="H1" s="45"/>
      <x:c r="I1" s="45"/>
      <x:c r="J1" s="45"/>
      <x:c r="K1" s="45"/>
      <x:c r="L1" s="45"/>
      <x:c r="M1" s="45"/>
      <x:c r="N1" s="45"/>
    </x:row>
    <x:row r="2" ht="28" customHeight="1">
      <x:c r="A2" s="48" t="str">
        <x:v>證據邊界：核定表只證明方案獲核定與預定期間，不代表活動已完成；預計受益人數不是實際參與人次。</x:v>
      </x:c>
      <x:c r="B2" s="48"/>
      <x:c r="C2" s="48"/>
      <x:c r="D2" s="48"/>
      <x:c r="E2" s="48"/>
      <x:c r="F2" s="48"/>
      <x:c r="G2" s="48"/>
      <x:c r="H2" s="48"/>
      <x:c r="I2" s="48"/>
      <x:c r="J2" s="48"/>
      <x:c r="K2" s="48"/>
      <x:c r="L2" s="48"/>
      <x:c r="M2" s="48"/>
      <x:c r="N2" s="48"/>
    </x:row>
    <x:row r="4">
      <x:c r="A4" s="51" t="str">
        <x:v>核定方案紀錄</x:v>
      </x:c>
      <x:c r="B4" s="51"/>
      <x:c r="C4" s="51" t="str">
        <x:v>有匹配協會</x:v>
      </x:c>
      <x:c r="D4" s="51"/>
      <x:c r="E4" s="51" t="str">
        <x:v>待補活動來源</x:v>
      </x:c>
      <x:c r="F4" s="51"/>
    </x:row>
    <x:row r="5">
      <x:c r="A5" s="71" t="n">
        <x:f>COUNTA('Activities'!A2:A51)</x:f>
        <x:v>50</x:v>
      </x:c>
      <x:c r="B5" s="72"/>
      <x:c r="C5" s="72" t="n">
        <x:f>COUNTIF('Source Audit'!C2:C34,"&gt;0")</x:f>
        <x:v>18</x:v>
      </x:c>
      <x:c r="D5" s="72"/>
      <x:c r="E5" s="72" t="n">
        <x:f>COUNTIF('Source Audit'!C2:C34,"=0")</x:f>
        <x:v>15</x:v>
      </x:c>
      <x:c r="F5" s="73"/>
    </x:row>
    <x:row r="6">
      <x:c r="A6" s="74"/>
      <x:c r="B6" s="75"/>
      <x:c r="C6" s="75"/>
      <x:c r="D6" s="75"/>
      <x:c r="E6" s="75"/>
      <x:c r="F6" s="76"/>
    </x:row>
    <x:row r="8">
      <x:c r="A8" s="79" t="str">
        <x:v>年度</x:v>
      </x:c>
      <x:c r="B8" s="79" t="str">
        <x:v>核定方案紀錄</x:v>
      </x:c>
      <x:c r="D8" s="81" t="str">
        <x:v>活動類型</x:v>
      </x:c>
      <x:c r="E8" s="81" t="str">
        <x:v>紀錄數</x:v>
      </x:c>
    </x:row>
    <x:row r="9">
      <x:c r="A9" s="82" t="n">
        <x:v>2023</x:v>
      </x:c>
      <x:c r="B9" s="83" t="n">
        <x:f>COUNTIF('Activities'!X$2:X$51,A9)</x:f>
        <x:v>5</x:v>
      </x:c>
      <x:c r="D9" s="82" t="str">
        <x:v>health_promotion</x:v>
      </x:c>
      <x:c r="E9" s="83" t="n">
        <x:f>COUNTIF('Activities'!D$2:D$51,D9)</x:f>
        <x:v>3</x:v>
      </x:c>
    </x:row>
    <x:row r="10">
      <x:c r="A10" s="82" t="n">
        <x:v>2024</x:v>
      </x:c>
      <x:c r="B10" s="83" t="n">
        <x:f>COUNTIF('Activities'!X$2:X$51,A10)</x:f>
        <x:v>30</x:v>
      </x:c>
      <x:c r="D10" s="82" t="str">
        <x:v>education</x:v>
      </x:c>
      <x:c r="E10" s="83" t="n">
        <x:f>COUNTIF('Activities'!D$2:D$51,D10)</x:f>
        <x:v>7</x:v>
      </x:c>
    </x:row>
    <x:row r="11">
      <x:c r="A11" s="82" t="n">
        <x:v>2025</x:v>
      </x:c>
      <x:c r="B11" s="83" t="n">
        <x:f>COUNTIF('Activities'!X$2:X$51,A11)</x:f>
        <x:v>10</x:v>
      </x:c>
      <x:c r="D11" s="82" t="str">
        <x:v>volunteer_service</x:v>
      </x:c>
      <x:c r="E11" s="83" t="n">
        <x:f>COUNTIF('Activities'!D$2:D$51,D11)</x:f>
        <x:v>3</x:v>
      </x:c>
    </x:row>
    <x:row r="12">
      <x:c r="A12" s="82" t="n">
        <x:v>2026</x:v>
      </x:c>
      <x:c r="B12" s="83" t="n">
        <x:f>COUNTIF('Activities'!X$2:X$51,A12)</x:f>
        <x:v>5</x:v>
      </x:c>
      <x:c r="D12" s="82" t="str">
        <x:v>culture</x:v>
      </x:c>
      <x:c r="E12" s="83" t="n">
        <x:f>COUNTIF('Activities'!D$2:D$51,D12)</x:f>
        <x:v>16</x:v>
      </x:c>
    </x:row>
    <x:row r="13">
      <x:c r="D13" s="82" t="str">
        <x:v>ecology</x:v>
      </x:c>
      <x:c r="E13" s="83" t="n">
        <x:f>COUNTIF('Activities'!D$2:D$51,D13)</x:f>
        <x:v>0</x:v>
      </x:c>
    </x:row>
    <x:row r="14">
      <x:c r="D14" s="82" t="str">
        <x:v>disaster_preparedness</x:v>
      </x:c>
      <x:c r="E14" s="83" t="n">
        <x:f>COUNTIF('Activities'!D$2:D$51,D14)</x:f>
        <x:v>0</x:v>
      </x:c>
    </x:row>
    <x:row r="15">
      <x:c r="D15" s="82" t="str">
        <x:v>care_service</x:v>
      </x:c>
      <x:c r="E15" s="83" t="n">
        <x:f>COUNTIF('Activities'!D$2:D$51,D15)</x:f>
        <x:v>18</x:v>
      </x:c>
    </x:row>
    <x:row r="16">
      <x:c r="D16" s="82" t="str">
        <x:v>digital_learning</x:v>
      </x:c>
      <x:c r="E16" s="83" t="n">
        <x:f>COUNTIF('Activities'!D$2:D$51,D16)</x:f>
        <x:v>1</x:v>
      </x:c>
    </x:row>
    <x:row r="17">
      <x:c r="D17" s="82" t="str">
        <x:v>youth_engagement</x:v>
      </x:c>
      <x:c r="E17" s="83" t="n">
        <x:f>COUNTIF('Activities'!D$2:D$51,D17)</x:f>
        <x:v>2</x:v>
      </x:c>
    </x:row>
    <x:row r="18">
      <x:c r="D18" s="82" t="str">
        <x:v>food_support</x:v>
      </x:c>
      <x:c r="E18" s="83" t="n">
        <x:f>COUNTIF('Activities'!D$2:D$51,D18)</x:f>
        <x:v>0</x:v>
      </x:c>
    </x:row>
    <x:row r="19">
      <x:c r="D19" s="82" t="str">
        <x:v>environment</x:v>
      </x:c>
      <x:c r="E19" s="83" t="n">
        <x:f>COUNTIF('Activities'!D$2:D$51,D19)</x:f>
        <x:v>0</x:v>
      </x:c>
    </x:row>
    <x:row r="20">
      <x:c r="D20" s="82" t="str">
        <x:v>other</x:v>
      </x:c>
      <x:c r="E20" s="83" t="n">
        <x:f>COUNTIF('Activities'!D$2:D$51,D20)</x:f>
        <x:v>0</x:v>
      </x:c>
    </x:row>
    <x:row r="22">
      <x:c r="A22" s="85" t="str">
        <x:v>解讀限制</x:v>
      </x:c>
      <x:c r="B22" s="85"/>
      <x:c r="C22" s="85"/>
      <x:c r="D22" s="85"/>
      <x:c r="E22" s="85"/>
      <x:c r="F22" s="85"/>
    </x:row>
    <x:row r="23">
      <x:c r="A23" s="105" t="str">
        <x:v>年度公開核定流程與文件範圍不一，不宜直接計算成長率。未匹配核定表不等於零活動；實際完成、參與人次與成果仍待核銷或成果資料查證。</x:v>
      </x:c>
      <x:c r="B23" s="106"/>
      <x:c r="C23" s="106"/>
      <x:c r="D23" s="106"/>
      <x:c r="E23" s="106"/>
      <x:c r="F23" s="107"/>
    </x:row>
    <x:row r="24">
      <x:c r="A24" s="108"/>
      <x:c r="B24" s="109"/>
      <x:c r="C24" s="109"/>
      <x:c r="D24" s="109"/>
      <x:c r="E24" s="109"/>
      <x:c r="F24" s="110"/>
    </x:row>
    <x:row r="25">
      <x:c r="A25" s="108"/>
      <x:c r="B25" s="109"/>
      <x:c r="C25" s="109"/>
      <x:c r="D25" s="109"/>
      <x:c r="E25" s="109"/>
      <x:c r="F25" s="110"/>
    </x:row>
    <x:row r="26">
      <x:c r="A26" s="111"/>
      <x:c r="B26" s="112"/>
      <x:c r="C26" s="112"/>
      <x:c r="D26" s="112"/>
      <x:c r="E26" s="112"/>
      <x:c r="F26" s="113"/>
    </x:row>
  </x:sheetData>
  <x:mergeCells>
    <x:mergeCell ref="A1:N1"/>
    <x:mergeCell ref="A2:N2"/>
    <x:mergeCell ref="A4:B4"/>
    <x:mergeCell ref="C4:D4"/>
    <x:mergeCell ref="E4:F4"/>
    <x:mergeCell ref="A5:B6"/>
    <x:mergeCell ref="C5:D6"/>
    <x:mergeCell ref="E5:F6"/>
    <x:mergeCell ref="A22:F22"/>
    <x:mergeCell ref="A23:F26"/>
  </x:mergeCells>
  <x:pageMargins left="0.7" right="0.7" top="0.75" bottom="0.75" header="0.3" footer="0.3"/>
  <x:drawing xmlns:r="http://schemas.openxmlformats.org/officeDocument/2006/relationships" r:id="Ra9013f9d74614599"/>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13" hidden="0" customWidth="1"/>
    <x:col min="3" max="3" width="32" hidden="0" customWidth="1"/>
    <x:col min="4" max="4" width="20" hidden="0" customWidth="1"/>
    <x:col min="5" max="5" width="46" hidden="0" customWidth="1"/>
    <x:col min="6" max="6" width="13" hidden="0" customWidth="1"/>
    <x:col min="7" max="7" width="13" hidden="0" customWidth="1"/>
    <x:col min="8" max="8" width="11" hidden="0" customWidth="1"/>
    <x:col min="9" max="9" width="17" hidden="0" customWidth="1"/>
    <x:col min="10" max="10" width="17" hidden="0" customWidth="1"/>
    <x:col min="11" max="11" width="17" hidden="0" customWidth="1"/>
    <x:col min="12" max="12" width="17" hidden="0" customWidth="1"/>
    <x:col min="13" max="13" width="12" hidden="0" customWidth="1"/>
    <x:col min="14" max="14" width="42" hidden="0" customWidth="1"/>
    <x:col min="15" max="15" width="6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72" hidden="0" customWidth="1"/>
    <x:col min="24" max="24" width="20" hidden="0" customWidth="1"/>
  </x:cols>
  <x:sheetData>
    <x:row r="1" ht="42" customHeight="1">
      <x:c r="A1" s="10" t="str">
        <x:v>activity_id</x:v>
      </x:c>
      <x:c r="B1" s="11" t="str">
        <x:v>community_id</x:v>
      </x:c>
      <x:c r="C1" s="11" t="str">
        <x:v>activity_name_zh</x:v>
      </x:c>
      <x:c r="D1" s="11" t="str">
        <x:v>activity_type_code</x:v>
      </x:c>
      <x:c r="E1" s="11" t="str">
        <x:v>description_zh</x:v>
      </x:c>
      <x:c r="F1" s="11" t="str">
        <x:v>start_date</x:v>
      </x:c>
      <x:c r="G1" s="11" t="str">
        <x:v>end_date</x:v>
      </x:c>
      <x:c r="H1" s="11" t="str">
        <x:v>recurring</x:v>
      </x:c>
      <x:c r="I1" s="11" t="str">
        <x:v>venue_name_zh</x:v>
      </x:c>
      <x:c r="J1" s="11" t="str">
        <x:v>address_zh</x:v>
      </x:c>
      <x:c r="K1" s="11" t="str">
        <x:v>participant_count</x:v>
      </x:c>
      <x:c r="L1" s="11" t="str">
        <x:v>target_groups</x:v>
      </x:c>
      <x:c r="M1" s="11" t="str">
        <x:v>evidence_level</x:v>
      </x:c>
      <x:c r="N1" s="11" t="str">
        <x:v>source_title</x:v>
      </x:c>
      <x:c r="O1" s="11" t="str">
        <x:v>source_url</x:v>
      </x:c>
      <x:c r="P1" s="11" t="str">
        <x:v>source_accessed_on</x:v>
      </x:c>
      <x:c r="Q1" s="11" t="str">
        <x:v>record_status</x:v>
      </x:c>
      <x:c r="R1" s="11" t="str">
        <x:v>data_quality_flag</x:v>
      </x:c>
      <x:c r="S1" s="11" t="str">
        <x:v>is_example</x:v>
      </x:c>
      <x:c r="T1" s="11" t="str">
        <x:v>created_at</x:v>
      </x:c>
      <x:c r="U1" s="11" t="str">
        <x:v>updated_at</x:v>
      </x:c>
      <x:c r="V1" s="11" t="str">
        <x:v>schema_version</x:v>
      </x:c>
      <x:c r="W1" s="11" t="str">
        <x:v>notes</x:v>
      </x:c>
      <x:c r="X1" s="12" t="str">
        <x:v>activity_year_check</x:v>
      </x:c>
    </x:row>
    <x:row r="2">
      <x:c r="A2" s="23" t="str">
        <x:v>ACT-2023-0001</x:v>
      </x:c>
      <x:c r="B2" s="23" t="str">
        <x:v>COM-0007</x:v>
      </x:c>
      <x:c r="C2" s="23" t="str">
        <x:v>新忠社區互助共好大家庭</x:v>
      </x:c>
      <x:c r="D2" s="23" t="str">
        <x:v>care_service</x:v>
      </x:c>
      <x:c r="E2" s="35" t="str">
        <x:v>臺北市政府社會局核定之「新忠社區互助共好大家庭」方案；本紀錄保留核定名稱與預定執行期間。</x:v>
      </x:c>
      <x:c r="F2" s="29" t="n">
        <x:v>44958</x:v>
      </x:c>
      <x:c r="G2" s="29" t="n">
        <x:v>45291</x:v>
      </x:c>
      <x:c r="H2" s="24" t="b">
        <x:v>1</x:v>
      </x:c>
      <x:c r="I2" s="23"/>
      <x:c r="J2" s="23"/>
      <x:c r="K2" s="23"/>
      <x:c r="L2" s="23"/>
      <x:c r="M2" s="23" t="str">
        <x:v>A</x:v>
      </x:c>
      <x:c r="N2" s="23" t="str">
        <x:v>112年社區發展及互助共好補助計畫專案五、專案六第一梯次核定表</x:v>
      </x:c>
      <x:c r="O2" s="23" t="str">
        <x:v>https://www-ws.gov.taipei/Download.ashx?icon=..pdf&amp;n=MTEy5bm05bCI5qGI5LqU5bCI5qGI5YWt56ys5LiA5qKv5qyh5qC45a6a6KGoKOeZvOaWhykucGRm&amp;u=LzAwMS9VcGxvYWQvMzU4L3JlbGZpbGUvNTc4ODEvODk2OTYxMC8yZDc1ZGVlNC04MTZhLTQ5MjgtOTYwYi02NWY3ZjBkYmJlYTgucGRm</x:v>
      </x:c>
      <x:c r="P2" s="29" t="n">
        <x:v>46237</x:v>
      </x:c>
      <x:c r="Q2" s="23" t="str">
        <x:v>verified</x:v>
      </x:c>
      <x:c r="R2" s="23" t="str">
        <x:v>low_evidence</x:v>
      </x:c>
      <x:c r="S2" s="24" t="b">
        <x:v>0</x:v>
      </x:c>
      <x:c r="T2" s="32" t="n">
        <x:v>46237.5</x:v>
      </x:c>
      <x:c r="U2" s="32" t="n">
        <x:v>46237.5</x:v>
      </x:c>
      <x:c r="V2" s="23" t="str">
        <x:v>1.1.0</x:v>
      </x:c>
      <x:c r="W2" s="35" t="str">
        <x:v>來源轉錄碼 SRC-ACT-2023-001；核定表編號 31，PDF 第 6 頁。 原始預定期間：2023-02-01 至 2023-12-31。 核定金額：新臺幣 400000 元；本 Sprint 不以金額評估成效。 證據只支持方案獲核定與預定執行期間，未查得核銷或成果資料，不得解讀為已執行或完成。</x:v>
      </x:c>
      <x:c r="X2" s="38" t="n">
        <x:f>VALUE(MID(A2,5,4))</x:f>
        <x:v>2023</x:v>
      </x:c>
    </x:row>
    <x:row r="3">
      <x:c r="A3" s="25" t="str">
        <x:v>ACT-2023-0002</x:v>
      </x:c>
      <x:c r="B3" s="25" t="str">
        <x:v>COM-0010</x:v>
      </x:c>
      <x:c r="C3" s="25" t="str">
        <x:v>社區互助關懷、共創美好社區</x:v>
      </x:c>
      <x:c r="D3" s="25" t="str">
        <x:v>care_service</x:v>
      </x:c>
      <x:c r="E3" s="36" t="str">
        <x:v>臺北市政府社會局核定之「社區互助關懷、共創美好社區」方案；本紀錄保留核定名稱與預定執行期間。</x:v>
      </x:c>
      <x:c r="F3" s="30" t="n">
        <x:v>44958</x:v>
      </x:c>
      <x:c r="G3" s="30" t="n">
        <x:v>45291</x:v>
      </x:c>
      <x:c r="H3" s="26" t="b">
        <x:v>1</x:v>
      </x:c>
      <x:c r="I3" s="25"/>
      <x:c r="J3" s="25"/>
      <x:c r="K3" s="25"/>
      <x:c r="L3" s="25"/>
      <x:c r="M3" s="25" t="str">
        <x:v>A</x:v>
      </x:c>
      <x:c r="N3" s="25" t="str">
        <x:v>112年社區發展及互助共好補助計畫專案五、專案六第一梯次核定表</x:v>
      </x:c>
      <x:c r="O3" s="25" t="str">
        <x:v>https://www-ws.gov.taipei/Download.ashx?icon=..pdf&amp;n=MTEy5bm05bCI5qGI5LqU5bCI5qGI5YWt56ys5LiA5qKv5qyh5qC45a6a6KGoKOeZvOaWhykucGRm&amp;u=LzAwMS9VcGxvYWQvMzU4L3JlbGZpbGUvNTc4ODEvODk2OTYxMC8yZDc1ZGVlNC04MTZhLTQ5MjgtOTYwYi02NWY3ZjBkYmJlYTgucGRm</x:v>
      </x:c>
      <x:c r="P3" s="30" t="n">
        <x:v>46237</x:v>
      </x:c>
      <x:c r="Q3" s="25" t="str">
        <x:v>verified</x:v>
      </x:c>
      <x:c r="R3" s="25" t="str">
        <x:v>low_evidence</x:v>
      </x:c>
      <x:c r="S3" s="26" t="b">
        <x:v>0</x:v>
      </x:c>
      <x:c r="T3" s="33" t="n">
        <x:v>46237.5</x:v>
      </x:c>
      <x:c r="U3" s="33" t="n">
        <x:v>46237.5</x:v>
      </x:c>
      <x:c r="V3" s="25" t="str">
        <x:v>1.1.0</x:v>
      </x:c>
      <x:c r="W3" s="36" t="str">
        <x:v>來源轉錄碼 SRC-ACT-2023-002；核定表編號 32，PDF 第 6 頁。 原始預定期間：2023-02-01 至 2023-12-31。 核定金額：新臺幣 300000 元；本 Sprint 不以金額評估成效。 證據只支持方案獲核定與預定執行期間，未查得核銷或成果資料，不得解讀為已執行或完成。</x:v>
      </x:c>
      <x:c r="X3" s="39" t="n">
        <x:f>VALUE(MID(A3,5,4))</x:f>
        <x:v>2023</x:v>
      </x:c>
    </x:row>
    <x:row r="4">
      <x:c r="A4" s="25" t="str">
        <x:v>ACT-2023-0003</x:v>
      </x:c>
      <x:c r="B4" s="25" t="str">
        <x:v>COM-0005</x:v>
      </x:c>
      <x:c r="C4" s="25" t="str">
        <x:v>忠貞里中正新城社區 A THINKER AND A DOER</x:v>
      </x:c>
      <x:c r="D4" s="25" t="str">
        <x:v>education</x:v>
      </x:c>
      <x:c r="E4" s="36" t="str">
        <x:v>臺北市政府社會局核定之「忠貞里中正新城社區 A THINKER AND A DOER」方案；本紀錄保留核定名稱與預定執行期間。</x:v>
      </x:c>
      <x:c r="F4" s="30" t="n">
        <x:v>45017</x:v>
      </x:c>
      <x:c r="G4" s="30" t="n">
        <x:v>45169</x:v>
      </x:c>
      <x:c r="H4" s="26" t="b">
        <x:v>1</x:v>
      </x:c>
      <x:c r="I4" s="25"/>
      <x:c r="J4" s="25"/>
      <x:c r="K4" s="25"/>
      <x:c r="L4" s="25"/>
      <x:c r="M4" s="25" t="str">
        <x:v>A</x:v>
      </x:c>
      <x:c r="N4" s="25" t="str">
        <x:v>112年度推動社區發展及互助共好補助計畫第三階段第二梯次核定表</x:v>
      </x:c>
      <x:c r="O4" s="25" t="str">
        <x:v>https://www-ws.gov.taipei/Download.ashx?icon=..pdf&amp;n=MTEy5bm05bCI5qGI5qC45a6a6KGo56ysM%2BmajuautSjlsIjlm5spLnBkZg%3D%3D&amp;u=LzAwMS9VcGxvYWQvMzU4L3JlbGZpbGUvNTc4ODEvODk2OTYwNy9iYTA2NjUxMS03NWZhLTRkZTQtYjY0Ni02ZGNmOGMwMmE0NGQucGRm</x:v>
      </x:c>
      <x:c r="P4" s="30" t="n">
        <x:v>46237</x:v>
      </x:c>
      <x:c r="Q4" s="25" t="str">
        <x:v>verified</x:v>
      </x:c>
      <x:c r="R4" s="25" t="str">
        <x:v>low_evidence</x:v>
      </x:c>
      <x:c r="S4" s="26" t="b">
        <x:v>0</x:v>
      </x:c>
      <x:c r="T4" s="33" t="n">
        <x:v>46237.5</x:v>
      </x:c>
      <x:c r="U4" s="33" t="n">
        <x:v>46237.5</x:v>
      </x:c>
      <x:c r="V4" s="25" t="str">
        <x:v>1.1.0</x:v>
      </x:c>
      <x:c r="W4" s="36" t="str">
        <x:v>來源轉錄碼 SRC-ACT-2023-003；核定表編號 330，PDF 第 2 頁。 原始預定期間：4–8月。 預計受益人數：250；此值不是實際參與人次。 核定金額：新臺幣 65000 元；本 Sprint 不以金額評估成效。 證據只支持方案獲核定與預定執行期間，未查得核銷或成果資料，不得解讀為已執行或完成。</x:v>
      </x:c>
      <x:c r="X4" s="39" t="n">
        <x:f>VALUE(MID(A4,5,4))</x:f>
        <x:v>2023</x:v>
      </x:c>
    </x:row>
    <x:row r="5">
      <x:c r="A5" s="25" t="str">
        <x:v>ACT-2023-0004</x:v>
      </x:c>
      <x:c r="B5" s="25" t="str">
        <x:v>COM-0012</x:v>
      </x:c>
      <x:c r="C5" s="25" t="str">
        <x:v>壽德公園青銀共樂繪工作坊</x:v>
      </x:c>
      <x:c r="D5" s="25" t="str">
        <x:v>culture</x:v>
      </x:c>
      <x:c r="E5" s="36" t="str">
        <x:v>臺北市政府社會局核定之「壽德公園青銀共樂繪工作坊」方案；本紀錄保留核定名稱與預定執行期間。</x:v>
      </x:c>
      <x:c r="F5" s="30" t="n">
        <x:v>45170</x:v>
      </x:c>
      <x:c r="G5" s="30" t="n">
        <x:v>45260</x:v>
      </x:c>
      <x:c r="H5" s="26" t="b">
        <x:v>1</x:v>
      </x:c>
      <x:c r="I5" s="25"/>
      <x:c r="J5" s="25"/>
      <x:c r="K5" s="25"/>
      <x:c r="L5" s="25"/>
      <x:c r="M5" s="25" t="str">
        <x:v>A</x:v>
      </x:c>
      <x:c r="N5" s="25" t="str">
        <x:v>112年度推動社區發展及互助共好補助計畫第三階段第二梯次核定表</x:v>
      </x:c>
      <x:c r="O5" s="25" t="str">
        <x:v>https://www-ws.gov.taipei/Download.ashx?icon=..pdf&amp;n=MTEy5bm05bCI5qGI5qC45a6a6KGo56ysM%2BmajuautSjlsIjlm5spLnBkZg%3D%3D&amp;u=LzAwMS9VcGxvYWQvMzU4L3JlbGZpbGUvNTc4ODEvODk2OTYwNy9iYTA2NjUxMS03NWZhLTRkZTQtYjY0Ni02ZGNmOGMwMmE0NGQucGRm</x:v>
      </x:c>
      <x:c r="P5" s="30" t="n">
        <x:v>46237</x:v>
      </x:c>
      <x:c r="Q5" s="25" t="str">
        <x:v>verified</x:v>
      </x:c>
      <x:c r="R5" s="25" t="str">
        <x:v>low_evidence</x:v>
      </x:c>
      <x:c r="S5" s="26" t="b">
        <x:v>0</x:v>
      </x:c>
      <x:c r="T5" s="33" t="n">
        <x:v>46237.5</x:v>
      </x:c>
      <x:c r="U5" s="33" t="n">
        <x:v>46237.5</x:v>
      </x:c>
      <x:c r="V5" s="25" t="str">
        <x:v>1.1.0</x:v>
      </x:c>
      <x:c r="W5" s="36" t="str">
        <x:v>來源轉錄碼 SRC-ACT-2023-004；核定表編號 331，PDF 第 2 頁。 原始預定期間：9–11月。 預計受益人數：15；此值不是實際參與人次。 核定金額：新臺幣 98000 元；本 Sprint 不以金額評估成效。 證據只支持方案獲核定與預定執行期間，未查得核銷或成果資料，不得解讀為已執行或完成。</x:v>
      </x:c>
      <x:c r="X5" s="39" t="n">
        <x:f>VALUE(MID(A5,5,4))</x:f>
        <x:v>2023</x:v>
      </x:c>
    </x:row>
    <x:row r="6">
      <x:c r="A6" s="25" t="str">
        <x:v>ACT-2023-0005</x:v>
      </x:c>
      <x:c r="B6" s="25" t="str">
        <x:v>COM-0007</x:v>
      </x:c>
      <x:c r="C6" s="25" t="str">
        <x:v>長者生命故事共創社區意象地圖</x:v>
      </x:c>
      <x:c r="D6" s="25" t="str">
        <x:v>culture</x:v>
      </x:c>
      <x:c r="E6" s="36" t="str">
        <x:v>臺北市政府社會局核定之「長者生命故事共創社區意象地圖」方案；本紀錄保留核定名稱與預定執行期間。</x:v>
      </x:c>
      <x:c r="F6" s="30" t="n">
        <x:v>45047</x:v>
      </x:c>
      <x:c r="G6" s="30" t="n">
        <x:v>45260</x:v>
      </x:c>
      <x:c r="H6" s="26" t="b">
        <x:v>1</x:v>
      </x:c>
      <x:c r="I6" s="25"/>
      <x:c r="J6" s="25"/>
      <x:c r="K6" s="25"/>
      <x:c r="L6" s="25"/>
      <x:c r="M6" s="25" t="str">
        <x:v>A</x:v>
      </x:c>
      <x:c r="N6" s="25" t="str">
        <x:v>112年度推動社區發展及互助共好補助計畫第三階段第二梯次核定表</x:v>
      </x:c>
      <x:c r="O6" s="25" t="str">
        <x:v>https://www-ws.gov.taipei/Download.ashx?icon=..pdf&amp;n=MTEy5bm05bCI5qGI5qC45a6a6KGo56ysM%2BmajuautSjlsIjlm5spLnBkZg%3D%3D&amp;u=LzAwMS9VcGxvYWQvMzU4L3JlbGZpbGUvNTc4ODEvODk2OTYwNy9iYTA2NjUxMS03NWZhLTRkZTQtYjY0Ni02ZGNmOGMwMmE0NGQucGRm</x:v>
      </x:c>
      <x:c r="P6" s="30" t="n">
        <x:v>46237</x:v>
      </x:c>
      <x:c r="Q6" s="25" t="str">
        <x:v>verified</x:v>
      </x:c>
      <x:c r="R6" s="25" t="str">
        <x:v>low_evidence</x:v>
      </x:c>
      <x:c r="S6" s="26" t="b">
        <x:v>0</x:v>
      </x:c>
      <x:c r="T6" s="33" t="n">
        <x:v>46237.5</x:v>
      </x:c>
      <x:c r="U6" s="33" t="n">
        <x:v>46237.5</x:v>
      </x:c>
      <x:c r="V6" s="25" t="str">
        <x:v>1.1.0</x:v>
      </x:c>
      <x:c r="W6" s="36" t="str">
        <x:v>來源轉錄碼 SRC-ACT-2023-005；核定表編號 332，PDF 第 2 頁。 原始預定期間：5–11月。 預計受益人數：25；此值不是實際參與人次。 核定金額：新臺幣 95000 元；本 Sprint 不以金額評估成效。 證據只支持方案獲核定與預定執行期間，未查得核銷或成果資料，不得解讀為已執行或完成。</x:v>
      </x:c>
      <x:c r="X6" s="39" t="n">
        <x:f>VALUE(MID(A6,5,4))</x:f>
        <x:v>2023</x:v>
      </x:c>
    </x:row>
    <x:row r="7">
      <x:c r="A7" s="25" t="str">
        <x:v>ACT-2024-0001</x:v>
      </x:c>
      <x:c r="B7" s="25" t="str">
        <x:v>COM-0010</x:v>
      </x:c>
      <x:c r="C7" s="25" t="str">
        <x:v>元宵節活動</x:v>
      </x:c>
      <x:c r="D7" s="25" t="str">
        <x:v>culture</x:v>
      </x:c>
      <x:c r="E7" s="36" t="str">
        <x:v>臺北市政府社會局核定之「元宵節活動」方案；本紀錄保留核定名稱與預定執行期間。</x:v>
      </x:c>
      <x:c r="F7" s="30" t="n">
        <x:v>45323</x:v>
      </x:c>
      <x:c r="G7" s="30" t="n">
        <x:v>45351</x:v>
      </x:c>
      <x:c r="H7" s="26" t="b">
        <x:v>0</x:v>
      </x:c>
      <x:c r="I7" s="25"/>
      <x:c r="J7" s="25"/>
      <x:c r="K7" s="25"/>
      <x:c r="L7" s="25"/>
      <x:c r="M7" s="25" t="str">
        <x:v>A</x:v>
      </x:c>
      <x:c r="N7" s="25" t="str">
        <x:v>113年度推動社區發展及互助共好補助計畫第一階段核定表</x:v>
      </x:c>
      <x:c r="O7" s="25" t="str">
        <x:v>https://www-ws.gov.taipei/Download.ashx?icon=..pdf&amp;n=MTEz5bm05bqm5o6o5YuV56S%2B5Y2A55m85bGV5Y%2BK5LqS5Yqp5YWx5aW96KOc5Yqp6KiI55Wr56ys5LiA6ZqO5q615qC45a6a6KGoKDExMzAxMjTmoLjlrpopLnBkZg%3D%3D&amp;u=LzAwMS9VcGxvYWQvMzU4L3JlbGZpbGUvNTc4ODEvOTExMzMyNC81ODRjMjhlMi0zMzBhLTRhYmItYmJkZC1kODVkNWFhYmFmNmYucGRm</x:v>
      </x:c>
      <x:c r="P7" s="30" t="n">
        <x:v>46237</x:v>
      </x:c>
      <x:c r="Q7" s="25" t="str">
        <x:v>verified</x:v>
      </x:c>
      <x:c r="R7" s="25" t="str">
        <x:v>low_evidence</x:v>
      </x:c>
      <x:c r="S7" s="26" t="b">
        <x:v>0</x:v>
      </x:c>
      <x:c r="T7" s="33" t="n">
        <x:v>46237.5</x:v>
      </x:c>
      <x:c r="U7" s="33" t="n">
        <x:v>46237.5</x:v>
      </x:c>
      <x:c r="V7" s="25" t="str">
        <x:v>1.1.0</x:v>
      </x:c>
      <x:c r="W7" s="36" t="str">
        <x:v>來源轉錄碼 SRC-ACT-2024-001；核定表編號 18，PDF 第 2 頁。 原始預定期間：2月擇1日。 預計受益人數：250；此值不是實際參與人次。 核定金額：新臺幣 20000 元；本 Sprint 不以金額評估成效。 證據只支持方案獲核定與預定執行期間，未查得核銷或成果資料，不得解讀為已執行或完成。</x:v>
      </x:c>
      <x:c r="X7" s="39" t="n">
        <x:f>VALUE(MID(A7,5,4))</x:f>
        <x:v>2024</x:v>
      </x:c>
    </x:row>
    <x:row r="8">
      <x:c r="A8" s="25" t="str">
        <x:v>ACT-2024-0002</x:v>
      </x:c>
      <x:c r="B8" s="25" t="str">
        <x:v>COM-0023</x:v>
      </x:c>
      <x:c r="C8" s="25" t="str">
        <x:v>高齡與弱勢關懷暨親子活動</x:v>
      </x:c>
      <x:c r="D8" s="25" t="str">
        <x:v>youth_engagement</x:v>
      </x:c>
      <x:c r="E8" s="36" t="str">
        <x:v>臺北市政府社會局核定之「高齡與弱勢關懷暨親子活動」方案；本紀錄保留核定名稱與預定執行期間。</x:v>
      </x:c>
      <x:c r="F8" s="30"/>
      <x:c r="G8" s="30" t="n">
        <x:v>45346</x:v>
      </x:c>
      <x:c r="H8" s="26" t="b">
        <x:v>0</x:v>
      </x:c>
      <x:c r="I8" s="25"/>
      <x:c r="J8" s="25"/>
      <x:c r="K8" s="25"/>
      <x:c r="L8" s="25"/>
      <x:c r="M8" s="25" t="str">
        <x:v>A</x:v>
      </x:c>
      <x:c r="N8" s="25" t="str">
        <x:v>113年度推動社區發展及互助共好補助計畫第一階段核定表</x:v>
      </x:c>
      <x:c r="O8" s="25" t="str">
        <x:v>https://www-ws.gov.taipei/Download.ashx?icon=..pdf&amp;n=MTEz5bm05bqm5o6o5YuV56S%2B5Y2A55m85bGV5Y%2BK5LqS5Yqp5YWx5aW96KOc5Yqp6KiI55Wr56ys5LiA6ZqO5q615qC45a6a6KGoKDExMzAxMjTmoLjlrpopLnBkZg%3D%3D&amp;u=LzAwMS9VcGxvYWQvMzU4L3JlbGZpbGUvNTc4ODEvOTExMzMyNC81ODRjMjhlMi0zMzBhLTRhYmItYmJkZC1kODVkNWFhYmFmNmYucGRm</x:v>
      </x:c>
      <x:c r="P8" s="30" t="n">
        <x:v>46237</x:v>
      </x:c>
      <x:c r="Q8" s="25" t="str">
        <x:v>verified</x:v>
      </x:c>
      <x:c r="R8" s="25" t="str">
        <x:v>low_evidence</x:v>
      </x:c>
      <x:c r="S8" s="26" t="b">
        <x:v>0</x:v>
      </x:c>
      <x:c r="T8" s="33" t="n">
        <x:v>46237.5</x:v>
      </x:c>
      <x:c r="U8" s="33" t="n">
        <x:v>46237.5</x:v>
      </x:c>
      <x:c r="V8" s="25" t="str">
        <x:v>1.1.0</x:v>
      </x:c>
      <x:c r="W8" s="36" t="str">
        <x:v>來源轉錄碼 SRC-ACT-2024-002；核定表編號 19，PDF 第 2 頁。 原始預定期間：2月24日前擇1日。 預計受益人數：250；此值不是實際參與人次。 核定金額：新臺幣 20000 元；本 Sprint 不以金額評估成效。 證據只支持方案獲核定與預定執行期間，未查得核銷或成果資料，不得解讀為已執行或完成。</x:v>
      </x:c>
      <x:c r="X8" s="39" t="n">
        <x:f>VALUE(MID(A8,5,4))</x:f>
        <x:v>2024</x:v>
      </x:c>
    </x:row>
    <x:row r="9">
      <x:c r="A9" s="25" t="str">
        <x:v>ACT-2024-0003</x:v>
      </x:c>
      <x:c r="B9" s="25" t="str">
        <x:v>COM-0004</x:v>
      </x:c>
      <x:c r="C9" s="25" t="str">
        <x:v>堀江町社區歡慶活動</x:v>
      </x:c>
      <x:c r="D9" s="25" t="str">
        <x:v>culture</x:v>
      </x:c>
      <x:c r="E9" s="36" t="str">
        <x:v>臺北市政府社會局核定之「堀江町社區歡慶活動」方案；本紀錄保留核定名稱與預定執行期間。</x:v>
      </x:c>
      <x:c r="F9" s="30" t="n">
        <x:v>45323</x:v>
      </x:c>
      <x:c r="G9" s="30" t="n">
        <x:v>45473</x:v>
      </x:c>
      <x:c r="H9" s="26" t="b">
        <x:v>1</x:v>
      </x:c>
      <x:c r="I9" s="25"/>
      <x:c r="J9" s="25"/>
      <x:c r="K9" s="25"/>
      <x:c r="L9" s="25"/>
      <x:c r="M9" s="25" t="str">
        <x:v>A</x:v>
      </x:c>
      <x:c r="N9" s="25" t="str">
        <x:v>113年度推動社區發展及互助共好補助計畫第一階段核定表</x:v>
      </x:c>
      <x:c r="O9" s="25" t="str">
        <x:v>https://www-ws.gov.taipei/Download.ashx?icon=..pdf&amp;n=MTEz5bm05bqm5o6o5YuV56S%2B5Y2A55m85bGV5Y%2BK5LqS5Yqp5YWx5aW96KOc5Yqp6KiI55Wr56ys5LiA6ZqO5q615qC45a6a6KGoKDExMzAxMjTmoLjlrpopLnBkZg%3D%3D&amp;u=LzAwMS9VcGxvYWQvMzU4L3JlbGZpbGUvNTc4ODEvOTExMzMyNC81ODRjMjhlMi0zMzBhLTRhYmItYmJkZC1kODVkNWFhYmFmNmYucGRm</x:v>
      </x:c>
      <x:c r="P9" s="30" t="n">
        <x:v>46237</x:v>
      </x:c>
      <x:c r="Q9" s="25" t="str">
        <x:v>verified</x:v>
      </x:c>
      <x:c r="R9" s="25" t="str">
        <x:v>low_evidence</x:v>
      </x:c>
      <x:c r="S9" s="26" t="b">
        <x:v>0</x:v>
      </x:c>
      <x:c r="T9" s="33" t="n">
        <x:v>46237.5</x:v>
      </x:c>
      <x:c r="U9" s="33" t="n">
        <x:v>46237.5</x:v>
      </x:c>
      <x:c r="V9" s="25" t="str">
        <x:v>1.1.0</x:v>
      </x:c>
      <x:c r="W9" s="36" t="str">
        <x:v>來源轉錄碼 SRC-ACT-2024-003；核定表編號 20，PDF 第 2 頁。 原始預定期間：2月及6月各擇1日。 預計受益人數：500；此值不是實際參與人次。 核定金額：新臺幣 20000 元；本 Sprint 不以金額評估成效。 證據只支持方案獲核定與預定執行期間，未查得核銷或成果資料，不得解讀為已執行或完成。</x:v>
      </x:c>
      <x:c r="X9" s="39" t="n">
        <x:f>VALUE(MID(A9,5,4))</x:f>
        <x:v>2024</x:v>
      </x:c>
    </x:row>
    <x:row r="10">
      <x:c r="A10" s="25" t="str">
        <x:v>ACT-2024-0004</x:v>
      </x:c>
      <x:c r="B10" s="25" t="str">
        <x:v>COM-0017</x:v>
      </x:c>
      <x:c r="C10" s="25" t="str">
        <x:v>綠堤里歡慶元宵活動</x:v>
      </x:c>
      <x:c r="D10" s="25" t="str">
        <x:v>culture</x:v>
      </x:c>
      <x:c r="E10" s="36" t="str">
        <x:v>臺北市政府社會局核定之「綠堤里歡慶元宵活動」方案；本紀錄保留核定名稱與預定執行期間。</x:v>
      </x:c>
      <x:c r="F10" s="30" t="n">
        <x:v>45323</x:v>
      </x:c>
      <x:c r="G10" s="30" t="n">
        <x:v>45351</x:v>
      </x:c>
      <x:c r="H10" s="26" t="b">
        <x:v>0</x:v>
      </x:c>
      <x:c r="I10" s="25"/>
      <x:c r="J10" s="25"/>
      <x:c r="K10" s="25"/>
      <x:c r="L10" s="25"/>
      <x:c r="M10" s="25" t="str">
        <x:v>A</x:v>
      </x:c>
      <x:c r="N10" s="25" t="str">
        <x:v>113年度推動社區發展及互助共好補助計畫第一階段核定表</x:v>
      </x:c>
      <x:c r="O10" s="25" t="str">
        <x:v>https://www-ws.gov.taipei/Download.ashx?icon=..pdf&amp;n=MTEz5bm05bqm5o6o5YuV56S%2B5Y2A55m85bGV5Y%2BK5LqS5Yqp5YWx5aW96KOc5Yqp6KiI55Wr56ys5LiA6ZqO5q615qC45a6a6KGoKDExMzAxMjTmoLjlrpopLnBkZg%3D%3D&amp;u=LzAwMS9VcGxvYWQvMzU4L3JlbGZpbGUvNTc4ODEvOTExMzMyNC81ODRjMjhlMi0zMzBhLTRhYmItYmJkZC1kODVkNWFhYmFmNmYucGRm</x:v>
      </x:c>
      <x:c r="P10" s="30" t="n">
        <x:v>46237</x:v>
      </x:c>
      <x:c r="Q10" s="25" t="str">
        <x:v>verified</x:v>
      </x:c>
      <x:c r="R10" s="25" t="str">
        <x:v>low_evidence</x:v>
      </x:c>
      <x:c r="S10" s="26" t="b">
        <x:v>0</x:v>
      </x:c>
      <x:c r="T10" s="33" t="n">
        <x:v>46237.5</x:v>
      </x:c>
      <x:c r="U10" s="33" t="n">
        <x:v>46237.5</x:v>
      </x:c>
      <x:c r="V10" s="25" t="str">
        <x:v>1.1.0</x:v>
      </x:c>
      <x:c r="W10" s="36" t="str">
        <x:v>來源轉錄碼 SRC-ACT-2024-004；核定表編號 21，PDF 第 2 頁。 原始預定期間：2月擇1日。 預計受益人數：300；此值不是實際參與人次。 核定金額：新臺幣 20000 元；本 Sprint 不以金額評估成效。 證據只支持方案獲核定與預定執行期間，未查得核銷或成果資料，不得解讀為已執行或完成。</x:v>
      </x:c>
      <x:c r="X10" s="39" t="n">
        <x:f>VALUE(MID(A10,5,4))</x:f>
        <x:v>2024</x:v>
      </x:c>
    </x:row>
    <x:row r="11">
      <x:c r="A11" s="25" t="str">
        <x:v>ACT-2024-0005</x:v>
      </x:c>
      <x:c r="B11" s="25" t="str">
        <x:v>COM-0011</x:v>
      </x:c>
      <x:c r="C11" s="25" t="str">
        <x:v>元宵節活動</x:v>
      </x:c>
      <x:c r="D11" s="25" t="str">
        <x:v>culture</x:v>
      </x:c>
      <x:c r="E11" s="36" t="str">
        <x:v>臺北市政府社會局核定之「元宵節活動」方案；本紀錄保留核定名稱與預定執行期間。</x:v>
      </x:c>
      <x:c r="F11" s="30" t="n">
        <x:v>45323</x:v>
      </x:c>
      <x:c r="G11" s="30" t="n">
        <x:v>45351</x:v>
      </x:c>
      <x:c r="H11" s="26" t="b">
        <x:v>0</x:v>
      </x:c>
      <x:c r="I11" s="25"/>
      <x:c r="J11" s="25"/>
      <x:c r="K11" s="25"/>
      <x:c r="L11" s="25"/>
      <x:c r="M11" s="25" t="str">
        <x:v>A</x:v>
      </x:c>
      <x:c r="N11" s="25" t="str">
        <x:v>113年度推動社區發展及互助共好補助計畫第一階段核定表</x:v>
      </x:c>
      <x:c r="O11" s="25" t="str">
        <x:v>https://www-ws.gov.taipei/Download.ashx?icon=..pdf&amp;n=MTEz5bm05bqm5o6o5YuV56S%2B5Y2A55m85bGV5Y%2BK5LqS5Yqp5YWx5aW96KOc5Yqp6KiI55Wr56ys5LiA6ZqO5q615qC45a6a6KGoKDExMzAxMjTmoLjlrpopLnBkZg%3D%3D&amp;u=LzAwMS9VcGxvYWQvMzU4L3JlbGZpbGUvNTc4ODEvOTExMzMyNC81ODRjMjhlMi0zMzBhLTRhYmItYmJkZC1kODVkNWFhYmFmNmYucGRm</x:v>
      </x:c>
      <x:c r="P11" s="30" t="n">
        <x:v>46237</x:v>
      </x:c>
      <x:c r="Q11" s="25" t="str">
        <x:v>verified</x:v>
      </x:c>
      <x:c r="R11" s="25" t="str">
        <x:v>low_evidence</x:v>
      </x:c>
      <x:c r="S11" s="26" t="b">
        <x:v>0</x:v>
      </x:c>
      <x:c r="T11" s="33" t="n">
        <x:v>46237.5</x:v>
      </x:c>
      <x:c r="U11" s="33" t="n">
        <x:v>46237.5</x:v>
      </x:c>
      <x:c r="V11" s="25" t="str">
        <x:v>1.1.0</x:v>
      </x:c>
      <x:c r="W11" s="36" t="str">
        <x:v>來源轉錄碼 SRC-ACT-2024-005；核定表編號 22，PDF 第 3 頁。 原始預定期間：2月擇1日。 預計受益人數：400；此值不是實際參與人次。 核定金額：新臺幣 20000 元；本 Sprint 不以金額評估成效。 證據只支持方案獲核定與預定執行期間，未查得核銷或成果資料，不得解讀為已執行或完成。</x:v>
      </x:c>
      <x:c r="X11" s="39" t="n">
        <x:f>VALUE(MID(A11,5,4))</x:f>
        <x:v>2024</x:v>
      </x:c>
    </x:row>
    <x:row r="12">
      <x:c r="A12" s="25" t="str">
        <x:v>ACT-2024-0006</x:v>
      </x:c>
      <x:c r="B12" s="25" t="str">
        <x:v>COM-0006</x:v>
      </x:c>
      <x:c r="C12" s="25" t="str">
        <x:v>元宵踩街活動</x:v>
      </x:c>
      <x:c r="D12" s="25" t="str">
        <x:v>culture</x:v>
      </x:c>
      <x:c r="E12" s="36" t="str">
        <x:v>臺北市政府社會局核定之「元宵踩街活動」方案；本紀錄保留核定名稱與預定執行期間。</x:v>
      </x:c>
      <x:c r="F12" s="30" t="n">
        <x:v>45323</x:v>
      </x:c>
      <x:c r="G12" s="30" t="n">
        <x:v>45351</x:v>
      </x:c>
      <x:c r="H12" s="26" t="b">
        <x:v>0</x:v>
      </x:c>
      <x:c r="I12" s="25"/>
      <x:c r="J12" s="25"/>
      <x:c r="K12" s="25"/>
      <x:c r="L12" s="25"/>
      <x:c r="M12" s="25" t="str">
        <x:v>A</x:v>
      </x:c>
      <x:c r="N12" s="25" t="str">
        <x:v>113年度推動社區發展及互助共好補助計畫第一階段核定表</x:v>
      </x:c>
      <x:c r="O12" s="25" t="str">
        <x:v>https://www-ws.gov.taipei/Download.ashx?icon=..pdf&amp;n=MTEz5bm05bqm5o6o5YuV56S%2B5Y2A55m85bGV5Y%2BK5LqS5Yqp5YWx5aW96KOc5Yqp6KiI55Wr56ys5LiA6ZqO5q615qC45a6a6KGoKDExMzAxMjTmoLjlrpopLnBkZg%3D%3D&amp;u=LzAwMS9VcGxvYWQvMzU4L3JlbGZpbGUvNTc4ODEvOTExMzMyNC81ODRjMjhlMi0zMzBhLTRhYmItYmJkZC1kODVkNWFhYmFmNmYucGRm</x:v>
      </x:c>
      <x:c r="P12" s="30" t="n">
        <x:v>46237</x:v>
      </x:c>
      <x:c r="Q12" s="25" t="str">
        <x:v>verified</x:v>
      </x:c>
      <x:c r="R12" s="25" t="str">
        <x:v>low_evidence</x:v>
      </x:c>
      <x:c r="S12" s="26" t="b">
        <x:v>0</x:v>
      </x:c>
      <x:c r="T12" s="33" t="n">
        <x:v>46237.5</x:v>
      </x:c>
      <x:c r="U12" s="33" t="n">
        <x:v>46237.5</x:v>
      </x:c>
      <x:c r="V12" s="25" t="str">
        <x:v>1.1.0</x:v>
      </x:c>
      <x:c r="W12" s="36" t="str">
        <x:v>來源轉錄碼 SRC-ACT-2024-006；核定表編號 23，PDF 第 3 頁。 原始預定期間：2月擇1日。 預計受益人數：400；此值不是實際參與人次。 核定金額：新臺幣 20000 元；本 Sprint 不以金額評估成效。 證據只支持方案獲核定與預定執行期間，未查得核銷或成果資料，不得解讀為已執行或完成。</x:v>
      </x:c>
      <x:c r="X12" s="39" t="n">
        <x:f>VALUE(MID(A12,5,4))</x:f>
        <x:v>2024</x:v>
      </x:c>
    </x:row>
    <x:row r="13">
      <x:c r="A13" s="25" t="str">
        <x:v>ACT-2024-0007</x:v>
      </x:c>
      <x:c r="B13" s="25" t="str">
        <x:v>COM-0029</x:v>
      </x:c>
      <x:c r="C13" s="25" t="str">
        <x:v>中秋齊心聚團圓</x:v>
      </x:c>
      <x:c r="D13" s="25" t="str">
        <x:v>culture</x:v>
      </x:c>
      <x:c r="E13" s="36" t="str">
        <x:v>臺北市政府社會局核定之「中秋齊心聚團圓」方案；本紀錄保留核定名稱與預定執行期間。</x:v>
      </x:c>
      <x:c r="F13" s="30" t="n">
        <x:v>45536</x:v>
      </x:c>
      <x:c r="G13" s="30" t="n">
        <x:v>45565</x:v>
      </x:c>
      <x:c r="H13" s="26" t="b">
        <x:v>0</x:v>
      </x:c>
      <x:c r="I13" s="25"/>
      <x:c r="J13" s="25"/>
      <x:c r="K13" s="25"/>
      <x:c r="L13" s="25"/>
      <x:c r="M13" s="25" t="str">
        <x:v>A</x:v>
      </x:c>
      <x:c r="N13" s="25" t="str">
        <x:v>113年度推動社區發展及互助共好補助計畫第二階段核定表（萬華區、南港區、中正區）</x:v>
      </x:c>
      <x:c r="O13"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13" s="30" t="n">
        <x:v>46237</x:v>
      </x:c>
      <x:c r="Q13" s="25" t="str">
        <x:v>verified</x:v>
      </x:c>
      <x:c r="R13" s="25" t="str">
        <x:v>low_evidence</x:v>
      </x:c>
      <x:c r="S13" s="26" t="b">
        <x:v>0</x:v>
      </x:c>
      <x:c r="T13" s="33" t="n">
        <x:v>46237.5</x:v>
      </x:c>
      <x:c r="U13" s="33" t="n">
        <x:v>46237.5</x:v>
      </x:c>
      <x:c r="V13" s="25" t="str">
        <x:v>1.1.0</x:v>
      </x:c>
      <x:c r="W13" s="36" t="str">
        <x:v>來源轉錄碼 SRC-ACT-2024-007；核定表編號 46，PDF 第 1 頁。 原始預定期間：9月擇1日。 預計受益人數：500；此值不是實際參與人次。 核定金額：新臺幣 20000 元；本 Sprint 不以金額評估成效。 證據只支持方案獲核定與預定執行期間，未查得核銷或成果資料，不得解讀為已執行或完成。</x:v>
      </x:c>
      <x:c r="X13" s="39" t="n">
        <x:f>VALUE(MID(A13,5,4))</x:f>
        <x:v>2024</x:v>
      </x:c>
    </x:row>
    <x:row r="14">
      <x:c r="A14" s="25" t="str">
        <x:v>ACT-2024-0008</x:v>
      </x:c>
      <x:c r="B14" s="25" t="str">
        <x:v>COM-0018</x:v>
      </x:c>
      <x:c r="C14" s="25" t="str">
        <x:v>苗栗縣卓越塭內社區發展協會參訪</x:v>
      </x:c>
      <x:c r="D14" s="25" t="str">
        <x:v>education</x:v>
      </x:c>
      <x:c r="E14" s="36" t="str">
        <x:v>臺北市政府社會局核定之「苗栗縣卓越塭內社區發展協會參訪」方案；本紀錄保留核定名稱與預定執行期間。</x:v>
      </x:c>
      <x:c r="F14" s="30" t="n">
        <x:v>45413</x:v>
      </x:c>
      <x:c r="G14" s="30" t="n">
        <x:v>45626</x:v>
      </x:c>
      <x:c r="H14" s="26" t="b">
        <x:v>1</x:v>
      </x:c>
      <x:c r="I14" s="25"/>
      <x:c r="J14" s="25"/>
      <x:c r="K14" s="25"/>
      <x:c r="L14" s="25"/>
      <x:c r="M14" s="25" t="str">
        <x:v>A</x:v>
      </x:c>
      <x:c r="N14" s="25" t="str">
        <x:v>113年度推動社區發展及互助共好補助計畫第二階段核定表（萬華區、南港區、中正區）</x:v>
      </x:c>
      <x:c r="O14"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14" s="30" t="n">
        <x:v>46237</x:v>
      </x:c>
      <x:c r="Q14" s="25" t="str">
        <x:v>verified</x:v>
      </x:c>
      <x:c r="R14" s="25" t="str">
        <x:v>low_evidence</x:v>
      </x:c>
      <x:c r="S14" s="26" t="b">
        <x:v>0</x:v>
      </x:c>
      <x:c r="T14" s="33" t="n">
        <x:v>46237.5</x:v>
      </x:c>
      <x:c r="U14" s="33" t="n">
        <x:v>46237.5</x:v>
      </x:c>
      <x:c r="V14" s="25" t="str">
        <x:v>1.1.0</x:v>
      </x:c>
      <x:c r="W14" s="36" t="str">
        <x:v>來源轉錄碼 SRC-ACT-2024-008；核定表編號 47，PDF 第 1 頁。 原始預定期間：5–11月擇2日。 預計受益人數：32；此值不是實際參與人次。 核定金額：新臺幣 20000 元；本 Sprint 不以金額評估成效。 證據只支持方案獲核定與預定執行期間，未查得核銷或成果資料，不得解讀為已執行或完成。</x:v>
      </x:c>
      <x:c r="X14" s="39" t="n">
        <x:f>VALUE(MID(A14,5,4))</x:f>
        <x:v>2024</x:v>
      </x:c>
    </x:row>
    <x:row r="15">
      <x:c r="A15" s="25" t="str">
        <x:v>ACT-2024-0009</x:v>
      </x:c>
      <x:c r="B15" s="25" t="str">
        <x:v>COM-0026</x:v>
      </x:c>
      <x:c r="C15" s="25" t="str">
        <x:v>友善社區重陽敬老活動</x:v>
      </x:c>
      <x:c r="D15" s="25" t="str">
        <x:v>culture</x:v>
      </x:c>
      <x:c r="E15" s="36" t="str">
        <x:v>臺北市政府社會局核定之「友善社區重陽敬老活動」方案；本紀錄保留核定名稱與預定執行期間。</x:v>
      </x:c>
      <x:c r="F15" s="30" t="n">
        <x:v>45566</x:v>
      </x:c>
      <x:c r="G15" s="30" t="n">
        <x:v>45596</x:v>
      </x:c>
      <x:c r="H15" s="26" t="b">
        <x:v>0</x:v>
      </x:c>
      <x:c r="I15" s="25"/>
      <x:c r="J15" s="25"/>
      <x:c r="K15" s="25"/>
      <x:c r="L15" s="25"/>
      <x:c r="M15" s="25" t="str">
        <x:v>A</x:v>
      </x:c>
      <x:c r="N15" s="25" t="str">
        <x:v>113年度推動社區發展及互助共好補助計畫第二階段核定表（萬華區、南港區、中正區）</x:v>
      </x:c>
      <x:c r="O15"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15" s="30" t="n">
        <x:v>46237</x:v>
      </x:c>
      <x:c r="Q15" s="25" t="str">
        <x:v>verified</x:v>
      </x:c>
      <x:c r="R15" s="25" t="str">
        <x:v>low_evidence</x:v>
      </x:c>
      <x:c r="S15" s="26" t="b">
        <x:v>0</x:v>
      </x:c>
      <x:c r="T15" s="33" t="n">
        <x:v>46237.5</x:v>
      </x:c>
      <x:c r="U15" s="33" t="n">
        <x:v>46237.5</x:v>
      </x:c>
      <x:c r="V15" s="25" t="str">
        <x:v>1.1.0</x:v>
      </x:c>
      <x:c r="W15" s="36" t="str">
        <x:v>來源轉錄碼 SRC-ACT-2024-009；核定表編號 48，PDF 第 1 頁。 原始預定期間：10月擇1日。 預計受益人數：500；此值不是實際參與人次。 核定金額：新臺幣 20000 元；本 Sprint 不以金額評估成效。 證據只支持方案獲核定與預定執行期間，未查得核銷或成果資料，不得解讀為已執行或完成。</x:v>
      </x:c>
      <x:c r="X15" s="39" t="n">
        <x:f>VALUE(MID(A15,5,4))</x:f>
        <x:v>2024</x:v>
      </x:c>
    </x:row>
    <x:row r="16">
      <x:c r="A16" s="25" t="str">
        <x:v>ACT-2024-0010</x:v>
      </x:c>
      <x:c r="B16" s="25" t="str">
        <x:v>COM-0030</x:v>
      </x:c>
      <x:c r="C16" s="25" t="str">
        <x:v>臺南市南區金華社區觀摩</x:v>
      </x:c>
      <x:c r="D16" s="25" t="str">
        <x:v>education</x:v>
      </x:c>
      <x:c r="E16" s="36" t="str">
        <x:v>臺北市政府社會局核定之「臺南市南區金華社區觀摩」方案；本紀錄保留核定名稱與預定執行期間。</x:v>
      </x:c>
      <x:c r="F16" s="30" t="n">
        <x:v>45352</x:v>
      </x:c>
      <x:c r="G16" s="30" t="n">
        <x:v>45657</x:v>
      </x:c>
      <x:c r="H16" s="26" t="b">
        <x:v>0</x:v>
      </x:c>
      <x:c r="I16" s="25"/>
      <x:c r="J16" s="25"/>
      <x:c r="K16" s="25"/>
      <x:c r="L16" s="25"/>
      <x:c r="M16" s="25" t="str">
        <x:v>A</x:v>
      </x:c>
      <x:c r="N16" s="25" t="str">
        <x:v>113年度推動社區發展及互助共好補助計畫第二階段核定表（萬華區、南港區、中正區）</x:v>
      </x:c>
      <x:c r="O16"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16" s="30" t="n">
        <x:v>46237</x:v>
      </x:c>
      <x:c r="Q16" s="25" t="str">
        <x:v>verified</x:v>
      </x:c>
      <x:c r="R16" s="25" t="str">
        <x:v>low_evidence</x:v>
      </x:c>
      <x:c r="S16" s="26" t="b">
        <x:v>0</x:v>
      </x:c>
      <x:c r="T16" s="33" t="n">
        <x:v>46237.5</x:v>
      </x:c>
      <x:c r="U16" s="33" t="n">
        <x:v>46237.5</x:v>
      </x:c>
      <x:c r="V16" s="25" t="str">
        <x:v>1.1.0</x:v>
      </x:c>
      <x:c r="W16" s="36" t="str">
        <x:v>來源轉錄碼 SRC-ACT-2024-010；核定表編號 49，PDF 第 1 頁。 原始預定期間：3–12月擇1日。 預計受益人數：40；此值不是實際參與人次。 核定金額：新臺幣 20000 元；本 Sprint 不以金額評估成效。 證據只支持方案獲核定與預定執行期間，未查得核銷或成果資料，不得解讀為已執行或完成。</x:v>
      </x:c>
      <x:c r="X16" s="39" t="n">
        <x:f>VALUE(MID(A16,5,4))</x:f>
        <x:v>2024</x:v>
      </x:c>
    </x:row>
    <x:row r="17">
      <x:c r="A17" s="25" t="str">
        <x:v>ACT-2024-0011</x:v>
      </x:c>
      <x:c r="B17" s="25" t="str">
        <x:v>COM-0001</x:v>
      </x:c>
      <x:c r="C17" s="25" t="str">
        <x:v>月圓花好歡唱活動</x:v>
      </x:c>
      <x:c r="D17" s="25" t="str">
        <x:v>culture</x:v>
      </x:c>
      <x:c r="E17" s="36" t="str">
        <x:v>臺北市政府社會局核定之「月圓花好歡唱活動」方案；本紀錄保留核定名稱與預定執行期間。</x:v>
      </x:c>
      <x:c r="F17" s="30" t="n">
        <x:v>45536</x:v>
      </x:c>
      <x:c r="G17" s="30" t="n">
        <x:v>45596</x:v>
      </x:c>
      <x:c r="H17" s="26" t="b">
        <x:v>0</x:v>
      </x:c>
      <x:c r="I17" s="25"/>
      <x:c r="J17" s="25"/>
      <x:c r="K17" s="25"/>
      <x:c r="L17" s="25"/>
      <x:c r="M17" s="25" t="str">
        <x:v>A</x:v>
      </x:c>
      <x:c r="N17" s="25" t="str">
        <x:v>113年度推動社區發展及互助共好補助計畫第二階段核定表（萬華區、南港區、中正區）</x:v>
      </x:c>
      <x:c r="O17"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17" s="30" t="n">
        <x:v>46237</x:v>
      </x:c>
      <x:c r="Q17" s="25" t="str">
        <x:v>verified</x:v>
      </x:c>
      <x:c r="R17" s="25" t="str">
        <x:v>low_evidence</x:v>
      </x:c>
      <x:c r="S17" s="26" t="b">
        <x:v>0</x:v>
      </x:c>
      <x:c r="T17" s="33" t="n">
        <x:v>46237.5</x:v>
      </x:c>
      <x:c r="U17" s="33" t="n">
        <x:v>46237.5</x:v>
      </x:c>
      <x:c r="V17" s="25" t="str">
        <x:v>1.1.0</x:v>
      </x:c>
      <x:c r="W17" s="36" t="str">
        <x:v>來源轉錄碼 SRC-ACT-2024-011；核定表編號 50，PDF 第 1 頁。 原始預定期間：9–10月擇1日。 預計受益人數：200；此值不是實際參與人次。 核定金額：新臺幣 20000 元；本 Sprint 不以金額評估成效。 證據只支持方案獲核定與預定執行期間，未查得核銷或成果資料，不得解讀為已執行或完成。</x:v>
      </x:c>
      <x:c r="X17" s="39" t="n">
        <x:f>VALUE(MID(A17,5,4))</x:f>
        <x:v>2024</x:v>
      </x:c>
    </x:row>
    <x:row r="18">
      <x:c r="A18" s="25" t="str">
        <x:v>ACT-2024-0012</x:v>
      </x:c>
      <x:c r="B18" s="25" t="str">
        <x:v>COM-0015</x:v>
      </x:c>
      <x:c r="C18" s="25" t="str">
        <x:v>臺北市萬華區福音社區發展協會社區參訪活動</x:v>
      </x:c>
      <x:c r="D18" s="25" t="str">
        <x:v>education</x:v>
      </x:c>
      <x:c r="E18" s="36" t="str">
        <x:v>臺北市政府社會局核定之「臺北市萬華區福音社區發展協會社區參訪活動」方案；本紀錄保留核定名稱與預定執行期間。</x:v>
      </x:c>
      <x:c r="F18" s="30" t="n">
        <x:v>45383</x:v>
      </x:c>
      <x:c r="G18" s="30" t="n">
        <x:v>45443</x:v>
      </x:c>
      <x:c r="H18" s="26" t="b">
        <x:v>0</x:v>
      </x:c>
      <x:c r="I18" s="25"/>
      <x:c r="J18" s="25"/>
      <x:c r="K18" s="25"/>
      <x:c r="L18" s="25"/>
      <x:c r="M18" s="25" t="str">
        <x:v>A</x:v>
      </x:c>
      <x:c r="N18" s="25" t="str">
        <x:v>113年度推動社區發展及互助共好補助計畫第二階段核定表（萬華區、南港區、中正區）</x:v>
      </x:c>
      <x:c r="O18"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18" s="30" t="n">
        <x:v>46237</x:v>
      </x:c>
      <x:c r="Q18" s="25" t="str">
        <x:v>verified</x:v>
      </x:c>
      <x:c r="R18" s="25" t="str">
        <x:v>low_evidence</x:v>
      </x:c>
      <x:c r="S18" s="26" t="b">
        <x:v>0</x:v>
      </x:c>
      <x:c r="T18" s="33" t="n">
        <x:v>46237.5</x:v>
      </x:c>
      <x:c r="U18" s="33" t="n">
        <x:v>46237.5</x:v>
      </x:c>
      <x:c r="V18" s="25" t="str">
        <x:v>1.1.0</x:v>
      </x:c>
      <x:c r="W18" s="36" t="str">
        <x:v>來源轉錄碼 SRC-ACT-2024-012；核定表編號 51，PDF 第 1 頁。 原始預定期間：4–5月擇1日。 預計受益人數：40；此值不是實際參與人次。 核定金額：新臺幣 20000 元；本 Sprint 不以金額評估成效。 證據只支持方案獲核定與預定執行期間，未查得核銷或成果資料，不得解讀為已執行或完成。</x:v>
      </x:c>
      <x:c r="X18" s="39" t="n">
        <x:f>VALUE(MID(A18,5,4))</x:f>
        <x:v>2024</x:v>
      </x:c>
    </x:row>
    <x:row r="19">
      <x:c r="A19" s="25" t="str">
        <x:v>ACT-2024-0013</x:v>
      </x:c>
      <x:c r="B19" s="25" t="str">
        <x:v>COM-0013</x:v>
      </x:c>
      <x:c r="C19" s="25" t="str">
        <x:v>烘焙研習班</x:v>
      </x:c>
      <x:c r="D19" s="25" t="str">
        <x:v>education</x:v>
      </x:c>
      <x:c r="E19" s="36" t="str">
        <x:v>臺北市政府社會局核定之「烘焙研習班」方案；本紀錄保留核定名稱與預定執行期間。</x:v>
      </x:c>
      <x:c r="F19" s="30" t="n">
        <x:v>45383</x:v>
      </x:c>
      <x:c r="G19" s="30" t="n">
        <x:v>45473</x:v>
      </x:c>
      <x:c r="H19" s="26" t="b">
        <x:v>1</x:v>
      </x:c>
      <x:c r="I19" s="25"/>
      <x:c r="J19" s="25"/>
      <x:c r="K19" s="25"/>
      <x:c r="L19" s="25"/>
      <x:c r="M19" s="25" t="str">
        <x:v>A</x:v>
      </x:c>
      <x:c r="N19" s="25" t="str">
        <x:v>113年度推動社區發展及互助共好補助計畫第二階段核定表（萬華區、南港區、中正區）</x:v>
      </x:c>
      <x:c r="O19"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19" s="30" t="n">
        <x:v>46237</x:v>
      </x:c>
      <x:c r="Q19" s="25" t="str">
        <x:v>verified</x:v>
      </x:c>
      <x:c r="R19" s="25" t="str">
        <x:v>low_evidence</x:v>
      </x:c>
      <x:c r="S19" s="26" t="b">
        <x:v>0</x:v>
      </x:c>
      <x:c r="T19" s="33" t="n">
        <x:v>46237.5</x:v>
      </x:c>
      <x:c r="U19" s="33" t="n">
        <x:v>46237.5</x:v>
      </x:c>
      <x:c r="V19" s="25" t="str">
        <x:v>1.1.0</x:v>
      </x:c>
      <x:c r="W19" s="36" t="str">
        <x:v>來源轉錄碼 SRC-ACT-2024-013；核定表編號 52，PDF 第 2 頁。 原始預定期間：4–6月。 預計受益人數：20；此值不是實際參與人次。 核定金額：新臺幣 14400 元；本 Sprint 不以金額評估成效。 證據只支持方案獲核定與預定執行期間，未查得核銷或成果資料，不得解讀為已執行或完成。</x:v>
      </x:c>
      <x:c r="X19" s="39" t="n">
        <x:f>VALUE(MID(A19,5,4))</x:f>
        <x:v>2024</x:v>
      </x:c>
    </x:row>
    <x:row r="20">
      <x:c r="A20" s="25" t="str">
        <x:v>ACT-2024-0014</x:v>
      </x:c>
      <x:c r="B20" s="25" t="str">
        <x:v>COM-0013</x:v>
      </x:c>
      <x:c r="C20" s="25" t="str">
        <x:v>績優社區觀摩</x:v>
      </x:c>
      <x:c r="D20" s="25" t="str">
        <x:v>education</x:v>
      </x:c>
      <x:c r="E20" s="36" t="str">
        <x:v>臺北市政府社會局核定之「績優社區觀摩」方案；本紀錄保留核定名稱與預定執行期間。</x:v>
      </x:c>
      <x:c r="F20" s="30" t="n">
        <x:v>45444</x:v>
      </x:c>
      <x:c r="G20" s="30" t="n">
        <x:v>45473</x:v>
      </x:c>
      <x:c r="H20" s="26" t="b">
        <x:v>0</x:v>
      </x:c>
      <x:c r="I20" s="25"/>
      <x:c r="J20" s="25"/>
      <x:c r="K20" s="25"/>
      <x:c r="L20" s="25"/>
      <x:c r="M20" s="25" t="str">
        <x:v>A</x:v>
      </x:c>
      <x:c r="N20" s="25" t="str">
        <x:v>113年度推動社區發展及互助共好補助計畫第二階段核定表（萬華區、南港區、中正區）</x:v>
      </x:c>
      <x:c r="O20"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0" s="30" t="n">
        <x:v>46237</x:v>
      </x:c>
      <x:c r="Q20" s="25" t="str">
        <x:v>verified</x:v>
      </x:c>
      <x:c r="R20" s="25" t="str">
        <x:v>low_evidence</x:v>
      </x:c>
      <x:c r="S20" s="26" t="b">
        <x:v>0</x:v>
      </x:c>
      <x:c r="T20" s="33" t="n">
        <x:v>46237.5</x:v>
      </x:c>
      <x:c r="U20" s="33" t="n">
        <x:v>46237.5</x:v>
      </x:c>
      <x:c r="V20" s="25" t="str">
        <x:v>1.1.0</x:v>
      </x:c>
      <x:c r="W20" s="36" t="str">
        <x:v>來源轉錄碼 SRC-ACT-2024-014；核定表編號 53，PDF 第 2 頁。 原始預定期間：6月擇1日。 預計受益人數：30；此值不是實際參與人次。 核定金額：新臺幣 15600 元；本 Sprint 不以金額評估成效。 證據只支持方案獲核定與預定執行期間，未查得核銷或成果資料，不得解讀為已執行或完成。</x:v>
      </x:c>
      <x:c r="X20" s="39" t="n">
        <x:f>VALUE(MID(A20,5,4))</x:f>
        <x:v>2024</x:v>
      </x:c>
    </x:row>
    <x:row r="21">
      <x:c r="A21" s="25" t="str">
        <x:v>ACT-2024-0015</x:v>
      </x:c>
      <x:c r="B21" s="25" t="str">
        <x:v>COM-0032</x:v>
      </x:c>
      <x:c r="C21" s="25" t="str">
        <x:v>愛在孝德姊姊妹妹舞蹈班</x:v>
      </x:c>
      <x:c r="D21" s="25" t="str">
        <x:v>health_promotion</x:v>
      </x:c>
      <x:c r="E21" s="36" t="str">
        <x:v>臺北市政府社會局核定之「愛在孝德姊姊妹妹舞蹈班」方案；本紀錄保留核定名稱與預定執行期間。</x:v>
      </x:c>
      <x:c r="F21" s="30" t="n">
        <x:v>45383</x:v>
      </x:c>
      <x:c r="G21" s="30" t="n">
        <x:v>45657</x:v>
      </x:c>
      <x:c r="H21" s="26" t="b">
        <x:v>1</x:v>
      </x:c>
      <x:c r="I21" s="25"/>
      <x:c r="J21" s="25"/>
      <x:c r="K21" s="25"/>
      <x:c r="L21" s="25"/>
      <x:c r="M21" s="25" t="str">
        <x:v>A</x:v>
      </x:c>
      <x:c r="N21" s="25" t="str">
        <x:v>113年度推動社區發展及互助共好補助計畫第二階段核定表（萬華區、南港區、中正區）</x:v>
      </x:c>
      <x:c r="O21"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1" s="30" t="n">
        <x:v>46237</x:v>
      </x:c>
      <x:c r="Q21" s="25" t="str">
        <x:v>verified</x:v>
      </x:c>
      <x:c r="R21" s="25" t="str">
        <x:v>low_evidence</x:v>
      </x:c>
      <x:c r="S21" s="26" t="b">
        <x:v>0</x:v>
      </x:c>
      <x:c r="T21" s="33" t="n">
        <x:v>46237.5</x:v>
      </x:c>
      <x:c r="U21" s="33" t="n">
        <x:v>46237.5</x:v>
      </x:c>
      <x:c r="V21" s="25" t="str">
        <x:v>1.1.0</x:v>
      </x:c>
      <x:c r="W21" s="36" t="str">
        <x:v>來源轉錄碼 SRC-ACT-2024-015；核定表編號 54，PDF 第 2 頁。 原始預定期間：4–12月。 預計受益人數：20；此值不是實際參與人次。 核定金額：新臺幣 20000 元；本 Sprint 不以金額評估成效。 證據只支持方案獲核定與預定執行期間，未查得核銷或成果資料，不得解讀為已執行或完成。</x:v>
      </x:c>
      <x:c r="X21" s="39" t="n">
        <x:f>VALUE(MID(A21,5,4))</x:f>
        <x:v>2024</x:v>
      </x:c>
    </x:row>
    <x:row r="22">
      <x:c r="A22" s="25" t="str">
        <x:v>ACT-2024-0016</x:v>
      </x:c>
      <x:c r="B22" s="25" t="str">
        <x:v>COM-0032</x:v>
      </x:c>
      <x:c r="C22" s="25" t="str">
        <x:v>愛在孝德月圓人團圓</x:v>
      </x:c>
      <x:c r="D22" s="25" t="str">
        <x:v>culture</x:v>
      </x:c>
      <x:c r="E22" s="36" t="str">
        <x:v>臺北市政府社會局核定之「愛在孝德月圓人團圓」方案；本紀錄保留核定名稱與預定執行期間。</x:v>
      </x:c>
      <x:c r="F22" s="30" t="n">
        <x:v>45536</x:v>
      </x:c>
      <x:c r="G22" s="30" t="n">
        <x:v>45565</x:v>
      </x:c>
      <x:c r="H22" s="26" t="b">
        <x:v>0</x:v>
      </x:c>
      <x:c r="I22" s="25"/>
      <x:c r="J22" s="25"/>
      <x:c r="K22" s="25"/>
      <x:c r="L22" s="25"/>
      <x:c r="M22" s="25" t="str">
        <x:v>A</x:v>
      </x:c>
      <x:c r="N22" s="25" t="str">
        <x:v>113年度推動社區發展及互助共好補助計畫第二階段核定表（萬華區、南港區、中正區）</x:v>
      </x:c>
      <x:c r="O22"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2" s="30" t="n">
        <x:v>46237</x:v>
      </x:c>
      <x:c r="Q22" s="25" t="str">
        <x:v>verified</x:v>
      </x:c>
      <x:c r="R22" s="25" t="str">
        <x:v>low_evidence</x:v>
      </x:c>
      <x:c r="S22" s="26" t="b">
        <x:v>0</x:v>
      </x:c>
      <x:c r="T22" s="33" t="n">
        <x:v>46237.5</x:v>
      </x:c>
      <x:c r="U22" s="33" t="n">
        <x:v>46237.5</x:v>
      </x:c>
      <x:c r="V22" s="25" t="str">
        <x:v>1.1.0</x:v>
      </x:c>
      <x:c r="W22" s="36" t="str">
        <x:v>來源轉錄碼 SRC-ACT-2024-016；核定表編號 55，PDF 第 2 頁。 原始預定期間：9月擇1日。 預計受益人數：250；此值不是實際參與人次。 核定金額：新臺幣 20000 元；本 Sprint 不以金額評估成效。 證據只支持方案獲核定與預定執行期間，未查得核銷或成果資料，不得解讀為已執行或完成。</x:v>
      </x:c>
      <x:c r="X22" s="39" t="n">
        <x:f>VALUE(MID(A22,5,4))</x:f>
        <x:v>2024</x:v>
      </x:c>
    </x:row>
    <x:row r="23">
      <x:c r="A23" s="25" t="str">
        <x:v>ACT-2024-0017</x:v>
      </x:c>
      <x:c r="B23" s="25" t="str">
        <x:v>COM-0024</x:v>
      </x:c>
      <x:c r="C23" s="25" t="str">
        <x:v>新竹縣芎林永興社區參訪</x:v>
      </x:c>
      <x:c r="D23" s="25" t="str">
        <x:v>education</x:v>
      </x:c>
      <x:c r="E23" s="36" t="str">
        <x:v>臺北市政府社會局核定之「新竹縣芎林永興社區參訪」方案；本紀錄保留核定名稱與預定執行期間。</x:v>
      </x:c>
      <x:c r="F23" s="30" t="n">
        <x:v>45383</x:v>
      </x:c>
      <x:c r="G23" s="30" t="n">
        <x:v>45473</x:v>
      </x:c>
      <x:c r="H23" s="26" t="b">
        <x:v>0</x:v>
      </x:c>
      <x:c r="I23" s="25"/>
      <x:c r="J23" s="25"/>
      <x:c r="K23" s="25"/>
      <x:c r="L23" s="25"/>
      <x:c r="M23" s="25" t="str">
        <x:v>A</x:v>
      </x:c>
      <x:c r="N23" s="25" t="str">
        <x:v>113年度推動社區發展及互助共好補助計畫第二階段核定表（萬華區、南港區、中正區）</x:v>
      </x:c>
      <x:c r="O23"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3" s="30" t="n">
        <x:v>46237</x:v>
      </x:c>
      <x:c r="Q23" s="25" t="str">
        <x:v>verified</x:v>
      </x:c>
      <x:c r="R23" s="25" t="str">
        <x:v>low_evidence</x:v>
      </x:c>
      <x:c r="S23" s="26" t="b">
        <x:v>0</x:v>
      </x:c>
      <x:c r="T23" s="33" t="n">
        <x:v>46237.5</x:v>
      </x:c>
      <x:c r="U23" s="33" t="n">
        <x:v>46237.5</x:v>
      </x:c>
      <x:c r="V23" s="25" t="str">
        <x:v>1.1.0</x:v>
      </x:c>
      <x:c r="W23" s="36" t="str">
        <x:v>來源轉錄碼 SRC-ACT-2024-017；核定表編號 56，PDF 第 2 頁。 原始預定期間：4–6月擇1日。 預計受益人數：42；此值不是實際參與人次。 核定金額：新臺幣 20000 元；本 Sprint 不以金額評估成效。 證據只支持方案獲核定與預定執行期間，未查得核銷或成果資料，不得解讀為已執行或完成。</x:v>
      </x:c>
      <x:c r="X23" s="39" t="n">
        <x:f>VALUE(MID(A23,5,4))</x:f>
        <x:v>2024</x:v>
      </x:c>
    </x:row>
    <x:row r="24">
      <x:c r="A24" s="25" t="str">
        <x:v>ACT-2024-0018</x:v>
      </x:c>
      <x:c r="B24" s="25" t="str">
        <x:v>COM-0024</x:v>
      </x:c>
      <x:c r="C24" s="25" t="str">
        <x:v>手機使用教學</x:v>
      </x:c>
      <x:c r="D24" s="25" t="str">
        <x:v>digital_learning</x:v>
      </x:c>
      <x:c r="E24" s="36" t="str">
        <x:v>臺北市政府社會局核定之「手機使用教學」方案；本紀錄保留核定名稱與預定執行期間。</x:v>
      </x:c>
      <x:c r="F24" s="30" t="n">
        <x:v>45536</x:v>
      </x:c>
      <x:c r="G24" s="30" t="n">
        <x:v>45626</x:v>
      </x:c>
      <x:c r="H24" s="26" t="b">
        <x:v>1</x:v>
      </x:c>
      <x:c r="I24" s="25"/>
      <x:c r="J24" s="25"/>
      <x:c r="K24" s="25"/>
      <x:c r="L24" s="25"/>
      <x:c r="M24" s="25" t="str">
        <x:v>A</x:v>
      </x:c>
      <x:c r="N24" s="25" t="str">
        <x:v>113年度推動社區發展及互助共好補助計畫第二階段核定表（萬華區、南港區、中正區）</x:v>
      </x:c>
      <x:c r="O24"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4" s="30" t="n">
        <x:v>46237</x:v>
      </x:c>
      <x:c r="Q24" s="25" t="str">
        <x:v>verified</x:v>
      </x:c>
      <x:c r="R24" s="25" t="str">
        <x:v>low_evidence</x:v>
      </x:c>
      <x:c r="S24" s="26" t="b">
        <x:v>0</x:v>
      </x:c>
      <x:c r="T24" s="33" t="n">
        <x:v>46237.5</x:v>
      </x:c>
      <x:c r="U24" s="33" t="n">
        <x:v>46237.5</x:v>
      </x:c>
      <x:c r="V24" s="25" t="str">
        <x:v>1.1.0</x:v>
      </x:c>
      <x:c r="W24" s="36" t="str">
        <x:v>來源轉錄碼 SRC-ACT-2024-018；核定表編號 57，PDF 第 2 頁。 原始預定期間：9–11月。 預計受益人數：20；此值不是實際參與人次。 核定金額：新臺幣 20000 元；本 Sprint 不以金額評估成效。 證據只支持方案獲核定與預定執行期間，未查得核銷或成果資料，不得解讀為已執行或完成。</x:v>
      </x:c>
      <x:c r="X24" s="39" t="n">
        <x:f>VALUE(MID(A24,5,4))</x:f>
        <x:v>2024</x:v>
      </x:c>
    </x:row>
    <x:row r="25">
      <x:c r="A25" s="25" t="str">
        <x:v>ACT-2024-0019</x:v>
      </x:c>
      <x:c r="B25" s="25" t="str">
        <x:v>COM-0007</x:v>
      </x:c>
      <x:c r="C25" s="25" t="str">
        <x:v>長青樂活班</x:v>
      </x:c>
      <x:c r="D25" s="25" t="str">
        <x:v>health_promotion</x:v>
      </x:c>
      <x:c r="E25" s="36" t="str">
        <x:v>臺北市政府社會局核定之「長青樂活班」方案；本紀錄保留核定名稱與預定執行期間。</x:v>
      </x:c>
      <x:c r="F25" s="30" t="n">
        <x:v>45352</x:v>
      </x:c>
      <x:c r="G25" s="30" t="n">
        <x:v>45657</x:v>
      </x:c>
      <x:c r="H25" s="26" t="b">
        <x:v>1</x:v>
      </x:c>
      <x:c r="I25" s="25"/>
      <x:c r="J25" s="25"/>
      <x:c r="K25" s="25"/>
      <x:c r="L25" s="25"/>
      <x:c r="M25" s="25" t="str">
        <x:v>A</x:v>
      </x:c>
      <x:c r="N25" s="25" t="str">
        <x:v>113年度推動社區發展及互助共好補助計畫第二階段核定表（萬華區、南港區、中正區）</x:v>
      </x:c>
      <x:c r="O25"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5" s="30" t="n">
        <x:v>46237</x:v>
      </x:c>
      <x:c r="Q25" s="25" t="str">
        <x:v>verified</x:v>
      </x:c>
      <x:c r="R25" s="25" t="str">
        <x:v>low_evidence</x:v>
      </x:c>
      <x:c r="S25" s="26" t="b">
        <x:v>0</x:v>
      </x:c>
      <x:c r="T25" s="33" t="n">
        <x:v>46237.5</x:v>
      </x:c>
      <x:c r="U25" s="33" t="n">
        <x:v>46237.5</x:v>
      </x:c>
      <x:c r="V25" s="25" t="str">
        <x:v>1.1.0</x:v>
      </x:c>
      <x:c r="W25" s="36" t="str">
        <x:v>來源轉錄碼 SRC-ACT-2024-019；核定表編號 58，PDF 第 2 頁。 原始預定期間：3–12月。 預計受益人數：30；此值不是實際參與人次。 核定金額：新臺幣 20000 元；本 Sprint 不以金額評估成效。 證據只支持方案獲核定與預定執行期間，未查得核銷或成果資料，不得解讀為已執行或完成。</x:v>
      </x:c>
      <x:c r="X25" s="39" t="n">
        <x:f>VALUE(MID(A25,5,4))</x:f>
        <x:v>2024</x:v>
      </x:c>
    </x:row>
    <x:row r="26">
      <x:c r="A26" s="25" t="str">
        <x:v>ACT-2024-0020</x:v>
      </x:c>
      <x:c r="B26" s="25" t="str">
        <x:v>COM-0005</x:v>
      </x:c>
      <x:c r="C26" s="25" t="str">
        <x:v>有氧樂齡操課程</x:v>
      </x:c>
      <x:c r="D26" s="25" t="str">
        <x:v>health_promotion</x:v>
      </x:c>
      <x:c r="E26" s="36" t="str">
        <x:v>臺北市政府社會局核定之「有氧樂齡操課程」方案；本紀錄保留核定名稱與預定執行期間。</x:v>
      </x:c>
      <x:c r="F26" s="30" t="n">
        <x:v>45474</x:v>
      </x:c>
      <x:c r="G26" s="30" t="n">
        <x:v>45565</x:v>
      </x:c>
      <x:c r="H26" s="26" t="b">
        <x:v>1</x:v>
      </x:c>
      <x:c r="I26" s="25"/>
      <x:c r="J26" s="25"/>
      <x:c r="K26" s="25"/>
      <x:c r="L26" s="25"/>
      <x:c r="M26" s="25" t="str">
        <x:v>A</x:v>
      </x:c>
      <x:c r="N26" s="25" t="str">
        <x:v>113年度推動社區發展及互助共好補助計畫第二階段核定表（萬華區、南港區、中正區）</x:v>
      </x:c>
      <x:c r="O26"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6" s="30" t="n">
        <x:v>46237</x:v>
      </x:c>
      <x:c r="Q26" s="25" t="str">
        <x:v>verified</x:v>
      </x:c>
      <x:c r="R26" s="25" t="str">
        <x:v>low_evidence</x:v>
      </x:c>
      <x:c r="S26" s="26" t="b">
        <x:v>0</x:v>
      </x:c>
      <x:c r="T26" s="33" t="n">
        <x:v>46237.5</x:v>
      </x:c>
      <x:c r="U26" s="33" t="n">
        <x:v>46237.5</x:v>
      </x:c>
      <x:c r="V26" s="25" t="str">
        <x:v>1.1.0</x:v>
      </x:c>
      <x:c r="W26" s="36" t="str">
        <x:v>來源轉錄碼 SRC-ACT-2024-020；核定表編號 73，PDF 第 3 頁。 原始預定期間：7–9月。 預計受益人數：20；此值不是實際參與人次。 核定金額：新臺幣 20000 元；本 Sprint 不以金額評估成效。 證據只支持方案獲核定與預定執行期間，未查得核銷或成果資料，不得解讀為已執行或完成。</x:v>
      </x:c>
      <x:c r="X26" s="39" t="n">
        <x:f>VALUE(MID(A26,5,4))</x:f>
        <x:v>2024</x:v>
      </x:c>
    </x:row>
    <x:row r="27">
      <x:c r="A27" s="25" t="str">
        <x:v>ACT-2024-0021</x:v>
      </x:c>
      <x:c r="B27" s="25" t="str">
        <x:v>COM-0005</x:v>
      </x:c>
      <x:c r="C27" s="25" t="str">
        <x:v>社區入戶關懷訪視及共好小站</x:v>
      </x:c>
      <x:c r="D27" s="25" t="str">
        <x:v>care_service</x:v>
      </x:c>
      <x:c r="E27" s="36" t="str">
        <x:v>臺北市政府社會局核定之「社區入戶關懷訪視及共好小站」方案；本紀錄保留核定名稱與預定執行期間。</x:v>
      </x:c>
      <x:c r="F27" s="30" t="n">
        <x:v>45352</x:v>
      </x:c>
      <x:c r="G27" s="30" t="n">
        <x:v>45504</x:v>
      </x:c>
      <x:c r="H27" s="26" t="b">
        <x:v>1</x:v>
      </x:c>
      <x:c r="I27" s="25"/>
      <x:c r="J27" s="25"/>
      <x:c r="K27" s="25"/>
      <x:c r="L27" s="25"/>
      <x:c r="M27" s="25" t="str">
        <x:v>A</x:v>
      </x:c>
      <x:c r="N27" s="25" t="str">
        <x:v>113年度推動社區發展及互助共好補助計畫第二階段核定表（萬華區、南港區、中正區）</x:v>
      </x:c>
      <x:c r="O27"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7" s="30" t="n">
        <x:v>46237</x:v>
      </x:c>
      <x:c r="Q27" s="25" t="str">
        <x:v>verified</x:v>
      </x:c>
      <x:c r="R27" s="25" t="str">
        <x:v>low_evidence</x:v>
      </x:c>
      <x:c r="S27" s="26" t="b">
        <x:v>0</x:v>
      </x:c>
      <x:c r="T27" s="33" t="n">
        <x:v>46237.5</x:v>
      </x:c>
      <x:c r="U27" s="33" t="n">
        <x:v>46237.5</x:v>
      </x:c>
      <x:c r="V27" s="25" t="str">
        <x:v>1.1.0</x:v>
      </x:c>
      <x:c r="W27" s="36" t="str">
        <x:v>來源轉錄碼 SRC-ACT-2024-021；核定表編號 74，PDF 第 4 頁。 原始預定期間：3–7月。 預計受益人數：155；此值不是實際參與人次。 核定金額：新臺幣 30000 元；本 Sprint 不以金額評估成效。 證據只支持方案獲核定與預定執行期間，未查得核銷或成果資料，不得解讀為已執行或完成。</x:v>
      </x:c>
      <x:c r="X27" s="39" t="n">
        <x:f>VALUE(MID(A27,5,4))</x:f>
        <x:v>2024</x:v>
      </x:c>
    </x:row>
    <x:row r="28">
      <x:c r="A28" s="25" t="str">
        <x:v>ACT-2024-0022</x:v>
      </x:c>
      <x:c r="B28" s="25" t="str">
        <x:v>COM-0011</x:v>
      </x:c>
      <x:c r="C28" s="25" t="str">
        <x:v>社區共好小站服務培力</x:v>
      </x:c>
      <x:c r="D28" s="25" t="str">
        <x:v>care_service</x:v>
      </x:c>
      <x:c r="E28" s="36" t="str">
        <x:v>臺北市政府社會局核定之「社區共好小站服務培力」方案；本紀錄保留核定名稱與預定執行期間。</x:v>
      </x:c>
      <x:c r="F28" s="30" t="n">
        <x:v>45383</x:v>
      </x:c>
      <x:c r="G28" s="30" t="n">
        <x:v>45504</x:v>
      </x:c>
      <x:c r="H28" s="26" t="b">
        <x:v>1</x:v>
      </x:c>
      <x:c r="I28" s="25"/>
      <x:c r="J28" s="25"/>
      <x:c r="K28" s="25"/>
      <x:c r="L28" s="25"/>
      <x:c r="M28" s="25" t="str">
        <x:v>A</x:v>
      </x:c>
      <x:c r="N28" s="25" t="str">
        <x:v>113年度推動社區發展及互助共好補助計畫第二階段核定表（萬華區、南港區、中正區）</x:v>
      </x:c>
      <x:c r="O28"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8" s="30" t="n">
        <x:v>46237</x:v>
      </x:c>
      <x:c r="Q28" s="25" t="str">
        <x:v>verified</x:v>
      </x:c>
      <x:c r="R28" s="25" t="str">
        <x:v>low_evidence</x:v>
      </x:c>
      <x:c r="S28" s="26" t="b">
        <x:v>0</x:v>
      </x:c>
      <x:c r="T28" s="33" t="n">
        <x:v>46237.5</x:v>
      </x:c>
      <x:c r="U28" s="33" t="n">
        <x:v>46237.5</x:v>
      </x:c>
      <x:c r="V28" s="25" t="str">
        <x:v>1.1.0</x:v>
      </x:c>
      <x:c r="W28" s="36" t="str">
        <x:v>來源轉錄碼 SRC-ACT-2024-022；核定表編號 75，PDF 第 4 頁。 原始預定期間：4–7月。 預計受益人數：100；此值不是實際參與人次。 核定金額：新臺幣 10000 元；本 Sprint 不以金額評估成效。 證據只支持方案獲核定與預定執行期間，未查得核銷或成果資料，不得解讀為已執行或完成。</x:v>
      </x:c>
      <x:c r="X28" s="39" t="n">
        <x:f>VALUE(MID(A28,5,4))</x:f>
        <x:v>2024</x:v>
      </x:c>
    </x:row>
    <x:row r="29">
      <x:c r="A29" s="25" t="str">
        <x:v>ACT-2024-0023</x:v>
      </x:c>
      <x:c r="B29" s="25" t="str">
        <x:v>COM-0011</x:v>
      </x:c>
      <x:c r="C29" s="25" t="str">
        <x:v>社區友善共好增能培力</x:v>
      </x:c>
      <x:c r="D29" s="25" t="str">
        <x:v>volunteer_service</x:v>
      </x:c>
      <x:c r="E29" s="36" t="str">
        <x:v>臺北市政府社會局核定之「社區友善共好增能培力」方案；本紀錄保留核定名稱與預定執行期間。</x:v>
      </x:c>
      <x:c r="F29" s="30" t="n">
        <x:v>45352</x:v>
      </x:c>
      <x:c r="G29" s="30" t="n">
        <x:v>45473</x:v>
      </x:c>
      <x:c r="H29" s="26" t="b">
        <x:v>1</x:v>
      </x:c>
      <x:c r="I29" s="25"/>
      <x:c r="J29" s="25"/>
      <x:c r="K29" s="25"/>
      <x:c r="L29" s="25"/>
      <x:c r="M29" s="25" t="str">
        <x:v>A</x:v>
      </x:c>
      <x:c r="N29" s="25" t="str">
        <x:v>113年度推動社區發展及互助共好補助計畫第二階段核定表（萬華區、南港區、中正區）</x:v>
      </x:c>
      <x:c r="O29"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29" s="30" t="n">
        <x:v>46237</x:v>
      </x:c>
      <x:c r="Q29" s="25" t="str">
        <x:v>verified</x:v>
      </x:c>
      <x:c r="R29" s="25" t="str">
        <x:v>low_evidence</x:v>
      </x:c>
      <x:c r="S29" s="26" t="b">
        <x:v>0</x:v>
      </x:c>
      <x:c r="T29" s="33" t="n">
        <x:v>46237.5</x:v>
      </x:c>
      <x:c r="U29" s="33" t="n">
        <x:v>46237.5</x:v>
      </x:c>
      <x:c r="V29" s="25" t="str">
        <x:v>1.1.0</x:v>
      </x:c>
      <x:c r="W29" s="36" t="str">
        <x:v>來源轉錄碼 SRC-ACT-2024-023；核定表編號 76，PDF 第 4 頁。 原始預定期間：3–6月。 預計受益人數：20；此值不是實際參與人次。 核定金額：新臺幣 39100 元；本 Sprint 不以金額評估成效。 證據只支持方案獲核定與預定執行期間，未查得核銷或成果資料，不得解讀為已執行或完成。</x:v>
      </x:c>
      <x:c r="X29" s="39" t="n">
        <x:f>VALUE(MID(A29,5,4))</x:f>
        <x:v>2024</x:v>
      </x:c>
    </x:row>
    <x:row r="30">
      <x:c r="A30" s="25" t="str">
        <x:v>ACT-2024-0024</x:v>
      </x:c>
      <x:c r="B30" s="25" t="str">
        <x:v>COM-0005</x:v>
      </x:c>
      <x:c r="C30" s="25" t="str">
        <x:v>志力互助增能 GO</x:v>
      </x:c>
      <x:c r="D30" s="25" t="str">
        <x:v>volunteer_service</x:v>
      </x:c>
      <x:c r="E30" s="36" t="str">
        <x:v>臺北市政府社會局核定之「志力互助增能 GO」方案；本紀錄保留核定名稱與預定執行期間。</x:v>
      </x:c>
      <x:c r="F30" s="30" t="n">
        <x:v>45413</x:v>
      </x:c>
      <x:c r="G30" s="30" t="n">
        <x:v>45504</x:v>
      </x:c>
      <x:c r="H30" s="26" t="b">
        <x:v>1</x:v>
      </x:c>
      <x:c r="I30" s="25"/>
      <x:c r="J30" s="25"/>
      <x:c r="K30" s="25"/>
      <x:c r="L30" s="25"/>
      <x:c r="M30" s="25" t="str">
        <x:v>A</x:v>
      </x:c>
      <x:c r="N30" s="25" t="str">
        <x:v>113年度推動社區發展及互助共好補助計畫第二階段核定表（萬華區、南港區、中正區）</x:v>
      </x:c>
      <x:c r="O30"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30" s="30" t="n">
        <x:v>46237</x:v>
      </x:c>
      <x:c r="Q30" s="25" t="str">
        <x:v>verified</x:v>
      </x:c>
      <x:c r="R30" s="25" t="str">
        <x:v>low_evidence</x:v>
      </x:c>
      <x:c r="S30" s="26" t="b">
        <x:v>0</x:v>
      </x:c>
      <x:c r="T30" s="33" t="n">
        <x:v>46237.5</x:v>
      </x:c>
      <x:c r="U30" s="33" t="n">
        <x:v>46237.5</x:v>
      </x:c>
      <x:c r="V30" s="25" t="str">
        <x:v>1.1.0</x:v>
      </x:c>
      <x:c r="W30" s="36" t="str">
        <x:v>來源轉錄碼 SRC-ACT-2024-024；核定表編號 77，PDF 第 4 頁。 原始預定期間：5–7月。 預計受益人數：15；此值不是實際參與人次。 核定金額：新臺幣 36600 元；本 Sprint 不以金額評估成效。 證據只支持方案獲核定與預定執行期間，未查得核銷或成果資料，不得解讀為已執行或完成。</x:v>
      </x:c>
      <x:c r="X30" s="39" t="n">
        <x:f>VALUE(MID(A30,5,4))</x:f>
        <x:v>2024</x:v>
      </x:c>
    </x:row>
    <x:row r="31">
      <x:c r="A31" s="25" t="str">
        <x:v>ACT-2024-0025</x:v>
      </x:c>
      <x:c r="B31" s="25" t="str">
        <x:v>COM-0007</x:v>
      </x:c>
      <x:c r="C31" s="25" t="str">
        <x:v>志工團隊培力方案</x:v>
      </x:c>
      <x:c r="D31" s="25" t="str">
        <x:v>volunteer_service</x:v>
      </x:c>
      <x:c r="E31" s="36" t="str">
        <x:v>臺北市政府社會局核定之「志工團隊培力方案」方案；本紀錄保留核定名稱與預定執行期間。</x:v>
      </x:c>
      <x:c r="F31" s="30" t="n">
        <x:v>45352</x:v>
      </x:c>
      <x:c r="G31" s="30" t="n">
        <x:v>45596</x:v>
      </x:c>
      <x:c r="H31" s="26" t="b">
        <x:v>1</x:v>
      </x:c>
      <x:c r="I31" s="25"/>
      <x:c r="J31" s="25"/>
      <x:c r="K31" s="25"/>
      <x:c r="L31" s="25"/>
      <x:c r="M31" s="25" t="str">
        <x:v>A</x:v>
      </x:c>
      <x:c r="N31" s="25" t="str">
        <x:v>113年度推動社區發展及互助共好補助計畫第二階段核定表（萬華區、南港區、中正區）</x:v>
      </x:c>
      <x:c r="O31"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31" s="30" t="n">
        <x:v>46237</x:v>
      </x:c>
      <x:c r="Q31" s="25" t="str">
        <x:v>verified</x:v>
      </x:c>
      <x:c r="R31" s="25" t="str">
        <x:v>low_evidence</x:v>
      </x:c>
      <x:c r="S31" s="26" t="b">
        <x:v>0</x:v>
      </x:c>
      <x:c r="T31" s="33" t="n">
        <x:v>46237.5</x:v>
      </x:c>
      <x:c r="U31" s="33" t="n">
        <x:v>46237.5</x:v>
      </x:c>
      <x:c r="V31" s="25" t="str">
        <x:v>1.1.0</x:v>
      </x:c>
      <x:c r="W31" s="36" t="str">
        <x:v>來源轉錄碼 SRC-ACT-2024-025；核定表編號 78，PDF 第 4 頁。 原始預定期間：3–10月。 預計受益人數：20；此值不是實際參與人次。 核定金額：新臺幣 36540 元；本 Sprint 不以金額評估成效。 證據只支持方案獲核定與預定執行期間，未查得核銷或成果資料，不得解讀為已執行或完成。</x:v>
      </x:c>
      <x:c r="X31" s="39" t="n">
        <x:f>VALUE(MID(A31,5,4))</x:f>
        <x:v>2024</x:v>
      </x:c>
    </x:row>
    <x:row r="32">
      <x:c r="A32" s="25" t="str">
        <x:v>ACT-2024-0026</x:v>
      </x:c>
      <x:c r="B32" s="25" t="str">
        <x:v>COM-0007</x:v>
      </x:c>
      <x:c r="C32" s="25" t="str">
        <x:v>入戶關懷暨高齡長者敬老關懷活動</x:v>
      </x:c>
      <x:c r="D32" s="25" t="str">
        <x:v>care_service</x:v>
      </x:c>
      <x:c r="E32" s="36" t="str">
        <x:v>臺北市政府社會局核定之「入戶關懷暨高齡長者敬老關懷活動」方案；本紀錄保留核定名稱與預定執行期間。</x:v>
      </x:c>
      <x:c r="F32" s="30" t="n">
        <x:v>45383</x:v>
      </x:c>
      <x:c r="G32" s="30" t="n">
        <x:v>45596</x:v>
      </x:c>
      <x:c r="H32" s="26" t="b">
        <x:v>1</x:v>
      </x:c>
      <x:c r="I32" s="25"/>
      <x:c r="J32" s="25"/>
      <x:c r="K32" s="25"/>
      <x:c r="L32" s="25"/>
      <x:c r="M32" s="25" t="str">
        <x:v>A</x:v>
      </x:c>
      <x:c r="N32" s="25" t="str">
        <x:v>113年度推動社區發展及互助共好補助計畫第二階段核定表（萬華區、南港區、中正區）</x:v>
      </x:c>
      <x:c r="O32" s="25"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c r="P32" s="30" t="n">
        <x:v>46237</x:v>
      </x:c>
      <x:c r="Q32" s="25" t="str">
        <x:v>verified</x:v>
      </x:c>
      <x:c r="R32" s="25" t="str">
        <x:v>low_evidence</x:v>
      </x:c>
      <x:c r="S32" s="26" t="b">
        <x:v>0</x:v>
      </x:c>
      <x:c r="T32" s="33" t="n">
        <x:v>46237.5</x:v>
      </x:c>
      <x:c r="U32" s="33" t="n">
        <x:v>46237.5</x:v>
      </x:c>
      <x:c r="V32" s="25" t="str">
        <x:v>1.1.0</x:v>
      </x:c>
      <x:c r="W32" s="36" t="str">
        <x:v>來源轉錄碼 SRC-ACT-2024-026；核定表編號 79，PDF 第 4 頁。 原始預定期間：4–10月。 預計受益人數：130；此值不是實際參與人次。 核定金額：新臺幣 40000 元；本 Sprint 不以金額評估成效。 證據只支持方案獲核定與預定執行期間，未查得核銷或成果資料，不得解讀為已執行或完成。</x:v>
      </x:c>
      <x:c r="X32" s="39" t="n">
        <x:f>VALUE(MID(A32,5,4))</x:f>
        <x:v>2024</x:v>
      </x:c>
    </x:row>
    <x:row r="33">
      <x:c r="A33" s="25" t="str">
        <x:v>ACT-2024-0027</x:v>
      </x:c>
      <x:c r="B33" s="25" t="str">
        <x:v>COM-0023</x:v>
      </x:c>
      <x:c r="C33" s="25" t="str">
        <x:v>社區多元關懷服務</x:v>
      </x:c>
      <x:c r="D33" s="25" t="str">
        <x:v>care_service</x:v>
      </x:c>
      <x:c r="E33" s="36" t="str">
        <x:v>臺北市政府社會局核定之「社區多元關懷服務」方案；本紀錄保留核定名稱與預定執行期間。</x:v>
      </x:c>
      <x:c r="F33" s="30" t="n">
        <x:v>45292</x:v>
      </x:c>
      <x:c r="G33" s="30" t="n">
        <x:v>45657</x:v>
      </x:c>
      <x:c r="H33" s="26" t="b">
        <x:v>1</x:v>
      </x:c>
      <x:c r="I33" s="25"/>
      <x:c r="J33" s="25"/>
      <x:c r="K33" s="25"/>
      <x:c r="L33" s="25"/>
      <x:c r="M33" s="25" t="str">
        <x:v>A</x:v>
      </x:c>
      <x:c r="N33" s="25" t="str">
        <x:v>113年度推動社區發展及互助共好補助計畫專案五專案六第一階段核定表</x:v>
      </x:c>
      <x:c r="O33" s="25" t="str">
        <x:v>https://www-ws.gov.taipei/Download.ashx?icon=..pdf&amp;n=MTEz5bm05bqm5o6o5YuV56S%2B5Y2A55m85bGV5Y%2BK5LqS5Yqp5YWx5aW96KOc5Yqp6KiI55Wr5bCI5qGI5LqU5bCI5qGI5YWt56ys5LiA6ZqO5q615qC45a6a6KGoLnBkZg%3D%3D&amp;u=LzAwMS9VcGxvYWQvMzU4L3JlbGZpbGUvNTc4ODEvOTE2NTc5MC9jZGE5ODc0Ni1jMjA1LTQ1MmYtOTBhOC0zMDA5NTBmMDEzYmEucGRm</x:v>
      </x:c>
      <x:c r="P33" s="30" t="n">
        <x:v>46237</x:v>
      </x:c>
      <x:c r="Q33" s="25" t="str">
        <x:v>verified</x:v>
      </x:c>
      <x:c r="R33" s="25" t="str">
        <x:v>low_evidence</x:v>
      </x:c>
      <x:c r="S33" s="26" t="b">
        <x:v>0</x:v>
      </x:c>
      <x:c r="T33" s="33" t="n">
        <x:v>46237.5</x:v>
      </x:c>
      <x:c r="U33" s="33" t="n">
        <x:v>46237.5</x:v>
      </x:c>
      <x:c r="V33" s="25" t="str">
        <x:v>1.1.0</x:v>
      </x:c>
      <x:c r="W33" s="36" t="str">
        <x:v>來源轉錄碼 SRC-ACT-2024-027；核定表編號 13，PDF 第 3 頁。 原始預定期間：1–12月。 核定金額：新臺幣 550000 元；本 Sprint 不以金額評估成效。 證據只支持方案獲核定與預定執行期間，未查得核銷或成果資料，不得解讀為已執行或完成。</x:v>
      </x:c>
      <x:c r="X33" s="39" t="n">
        <x:f>VALUE(MID(A33,5,4))</x:f>
        <x:v>2024</x:v>
      </x:c>
    </x:row>
    <x:row r="34">
      <x:c r="A34" s="25" t="str">
        <x:v>ACT-2024-0028</x:v>
      </x:c>
      <x:c r="B34" s="25" t="str">
        <x:v>COM-0005</x:v>
      </x:c>
      <x:c r="C34" s="25" t="str">
        <x:v>互助共好社區生活方案</x:v>
      </x:c>
      <x:c r="D34" s="25" t="str">
        <x:v>care_service</x:v>
      </x:c>
      <x:c r="E34" s="36" t="str">
        <x:v>臺北市政府社會局核定之「互助共好社區生活方案」方案；本紀錄保留核定名稱與預定執行期間。</x:v>
      </x:c>
      <x:c r="F34" s="30" t="n">
        <x:v>45307</x:v>
      </x:c>
      <x:c r="G34" s="30" t="n">
        <x:v>45657</x:v>
      </x:c>
      <x:c r="H34" s="26" t="b">
        <x:v>1</x:v>
      </x:c>
      <x:c r="I34" s="25"/>
      <x:c r="J34" s="25"/>
      <x:c r="K34" s="25"/>
      <x:c r="L34" s="25"/>
      <x:c r="M34" s="25" t="str">
        <x:v>A</x:v>
      </x:c>
      <x:c r="N34" s="25" t="str">
        <x:v>113年度推動社區發展及互助共好補助計畫專案五專案六第一階段核定表</x:v>
      </x:c>
      <x:c r="O34" s="25" t="str">
        <x:v>https://www-ws.gov.taipei/Download.ashx?icon=..pdf&amp;n=MTEz5bm05bqm5o6o5YuV56S%2B5Y2A55m85bGV5Y%2BK5LqS5Yqp5YWx5aW96KOc5Yqp6KiI55Wr5bCI5qGI5LqU5bCI5qGI5YWt56ys5LiA6ZqO5q615qC45a6a6KGoLnBkZg%3D%3D&amp;u=LzAwMS9VcGxvYWQvMzU4L3JlbGZpbGUvNTc4ODEvOTE2NTc5MC9jZGE5ODc0Ni1jMjA1LTQ1MmYtOTBhOC0zMDA5NTBmMDEzYmEucGRm</x:v>
      </x:c>
      <x:c r="P34" s="30" t="n">
        <x:v>46237</x:v>
      </x:c>
      <x:c r="Q34" s="25" t="str">
        <x:v>verified</x:v>
      </x:c>
      <x:c r="R34" s="25" t="str">
        <x:v>low_evidence</x:v>
      </x:c>
      <x:c r="S34" s="26" t="b">
        <x:v>0</x:v>
      </x:c>
      <x:c r="T34" s="33" t="n">
        <x:v>46237.5</x:v>
      </x:c>
      <x:c r="U34" s="33" t="n">
        <x:v>46237.5</x:v>
      </x:c>
      <x:c r="V34" s="25" t="str">
        <x:v>1.1.0</x:v>
      </x:c>
      <x:c r="W34" s="36" t="str">
        <x:v>來源轉錄碼 SRC-ACT-2024-028；核定表編號 14，PDF 第 3 頁。 原始預定期間：1月16日–12月。 核定金額：新臺幣 200000 元；本 Sprint 不以金額評估成效。 證據只支持方案獲核定與預定執行期間，未查得核銷或成果資料，不得解讀為已執行或完成。</x:v>
      </x:c>
      <x:c r="X34" s="39" t="n">
        <x:f>VALUE(MID(A34,5,4))</x:f>
        <x:v>2024</x:v>
      </x:c>
    </x:row>
    <x:row r="35">
      <x:c r="A35" s="25" t="str">
        <x:v>ACT-2024-0029</x:v>
      </x:c>
      <x:c r="B35" s="25" t="str">
        <x:v>COM-0007</x:v>
      </x:c>
      <x:c r="C35" s="25" t="str">
        <x:v>新忠社區互助共好大家庭</x:v>
      </x:c>
      <x:c r="D35" s="25" t="str">
        <x:v>care_service</x:v>
      </x:c>
      <x:c r="E35" s="36" t="str">
        <x:v>臺北市政府社會局核定之「新忠社區互助共好大家庭」方案；本紀錄保留核定名稱與預定執行期間。</x:v>
      </x:c>
      <x:c r="F35" s="30" t="n">
        <x:v>45292</x:v>
      </x:c>
      <x:c r="G35" s="30" t="n">
        <x:v>45657</x:v>
      </x:c>
      <x:c r="H35" s="26" t="b">
        <x:v>1</x:v>
      </x:c>
      <x:c r="I35" s="25"/>
      <x:c r="J35" s="25"/>
      <x:c r="K35" s="25"/>
      <x:c r="L35" s="25"/>
      <x:c r="M35" s="25" t="str">
        <x:v>A</x:v>
      </x:c>
      <x:c r="N35" s="25" t="str">
        <x:v>113年度推動社區發展及互助共好補助計畫專案五專案六第一階段核定表</x:v>
      </x:c>
      <x:c r="O35" s="25" t="str">
        <x:v>https://www-ws.gov.taipei/Download.ashx?icon=..pdf&amp;n=MTEz5bm05bqm5o6o5YuV56S%2B5Y2A55m85bGV5Y%2BK5LqS5Yqp5YWx5aW96KOc5Yqp6KiI55Wr5bCI5qGI5LqU5bCI5qGI5YWt56ys5LiA6ZqO5q615qC45a6a6KGoLnBkZg%3D%3D&amp;u=LzAwMS9VcGxvYWQvMzU4L3JlbGZpbGUvNTc4ODEvOTE2NTc5MC9jZGE5ODc0Ni1jMjA1LTQ1MmYtOTBhOC0zMDA5NTBmMDEzYmEucGRm</x:v>
      </x:c>
      <x:c r="P35" s="30" t="n">
        <x:v>46237</x:v>
      </x:c>
      <x:c r="Q35" s="25" t="str">
        <x:v>verified</x:v>
      </x:c>
      <x:c r="R35" s="25" t="str">
        <x:v>low_evidence</x:v>
      </x:c>
      <x:c r="S35" s="26" t="b">
        <x:v>0</x:v>
      </x:c>
      <x:c r="T35" s="33" t="n">
        <x:v>46237.5</x:v>
      </x:c>
      <x:c r="U35" s="33" t="n">
        <x:v>46237.5</x:v>
      </x:c>
      <x:c r="V35" s="25" t="str">
        <x:v>1.1.0</x:v>
      </x:c>
      <x:c r="W35" s="36" t="str">
        <x:v>來源轉錄碼 SRC-ACT-2024-029；核定表編號 15，PDF 第 3 頁。 原始預定期間：1–12月。 核定金額：新臺幣 500000 元；本 Sprint 不以金額評估成效。 證據只支持方案獲核定與預定執行期間，未查得核銷或成果資料，不得解讀為已執行或完成。</x:v>
      </x:c>
      <x:c r="X35" s="39" t="n">
        <x:f>VALUE(MID(A35,5,4))</x:f>
        <x:v>2024</x:v>
      </x:c>
    </x:row>
    <x:row r="36">
      <x:c r="A36" s="25" t="str">
        <x:v>ACT-2024-0030</x:v>
      </x:c>
      <x:c r="B36" s="25" t="str">
        <x:v>COM-0010</x:v>
      </x:c>
      <x:c r="C36" s="25" t="str">
        <x:v>社區互助關懷、共創美好社區</x:v>
      </x:c>
      <x:c r="D36" s="25" t="str">
        <x:v>care_service</x:v>
      </x:c>
      <x:c r="E36" s="36" t="str">
        <x:v>臺北市政府社會局核定之「社區互助關懷、共創美好社區」方案；本紀錄保留核定名稱與預定執行期間。</x:v>
      </x:c>
      <x:c r="F36" s="30" t="n">
        <x:v>45292</x:v>
      </x:c>
      <x:c r="G36" s="30" t="n">
        <x:v>45657</x:v>
      </x:c>
      <x:c r="H36" s="26" t="b">
        <x:v>1</x:v>
      </x:c>
      <x:c r="I36" s="25"/>
      <x:c r="J36" s="25"/>
      <x:c r="K36" s="25"/>
      <x:c r="L36" s="25"/>
      <x:c r="M36" s="25" t="str">
        <x:v>A</x:v>
      </x:c>
      <x:c r="N36" s="25" t="str">
        <x:v>113年度推動社區發展及互助共好補助計畫專案五專案六第二階段核定表</x:v>
      </x:c>
      <x:c r="O36" s="25" t="str">
        <x:v>https://www-ws.gov.taipei/Download.ashx?icon=..pdf&amp;n=MTEz5bm05bqm5o6o5YuV56S%2B5Y2A55m85bGV5Y%2BK5LqS5Yqp5YWx5aW96KOc5Yqp6KiI55Wr5bCI5qGI5LqU5bCI5qGI5YWt56ys5LqM6ZqO5q615qC45a6a6KGoLnBkZg%3D%3D&amp;u=LzAwMS9VcGxvYWQvMzU4L3JlbGZpbGUvNTc4ODEvOTE2NTc5MC82YzQ0YTE3MC1lOTdlLTQ5MGUtYjYzNS02MzIxYTAxZjQwNDkucGRm</x:v>
      </x:c>
      <x:c r="P36" s="30" t="n">
        <x:v>46237</x:v>
      </x:c>
      <x:c r="Q36" s="25" t="str">
        <x:v>verified</x:v>
      </x:c>
      <x:c r="R36" s="25" t="str">
        <x:v>low_evidence</x:v>
      </x:c>
      <x:c r="S36" s="26" t="b">
        <x:v>0</x:v>
      </x:c>
      <x:c r="T36" s="33" t="n">
        <x:v>46237.5</x:v>
      </x:c>
      <x:c r="U36" s="33" t="n">
        <x:v>46237.5</x:v>
      </x:c>
      <x:c r="V36" s="25" t="str">
        <x:v>1.1.0</x:v>
      </x:c>
      <x:c r="W36" s="36" t="str">
        <x:v>來源轉錄碼 SRC-ACT-2024-030；核定表編號 50，PDF 第 1 頁。 原始預定期間：1–12月。 核定金額：新臺幣 450000 元；本 Sprint 不以金額評估成效。 證據只支持方案獲核定與預定執行期間，未查得核銷或成果資料，不得解讀為已執行或完成。</x:v>
      </x:c>
      <x:c r="X36" s="39" t="n">
        <x:f>VALUE(MID(A36,5,4))</x:f>
        <x:v>2024</x:v>
      </x:c>
    </x:row>
    <x:row r="37">
      <x:c r="A37" s="25" t="str">
        <x:v>ACT-2025-0001</x:v>
      </x:c>
      <x:c r="B37" s="25" t="str">
        <x:v>COM-0004</x:v>
      </x:c>
      <x:c r="C37" s="25" t="str">
        <x:v>堀江町社區歡慶活動</x:v>
      </x:c>
      <x:c r="D37" s="25" t="str">
        <x:v>culture</x:v>
      </x:c>
      <x:c r="E37" s="36" t="str">
        <x:v>臺北市政府社會局核定之「堀江町社區歡慶活動」方案；本紀錄保留核定名稱與預定執行期間。</x:v>
      </x:c>
      <x:c r="F37" s="30" t="n">
        <x:v>45689</x:v>
      </x:c>
      <x:c r="G37" s="30" t="n">
        <x:v>45808</x:v>
      </x:c>
      <x:c r="H37" s="26" t="b">
        <x:v>1</x:v>
      </x:c>
      <x:c r="I37" s="25"/>
      <x:c r="J37" s="25"/>
      <x:c r="K37" s="25"/>
      <x:c r="L37" s="25"/>
      <x:c r="M37" s="25" t="str">
        <x:v>A</x:v>
      </x:c>
      <x:c r="N37" s="25" t="str">
        <x:v>114年度推動社區發展及互助共好補助計畫第一階段核定表</x:v>
      </x:c>
      <x:c r="O37" s="25" t="str">
        <x:v>https://www-ws.gov.taipei/Download.ashx?icon=..pdf&amp;n=MTE05bm05bqm56S%2B5Y2A55m85bGV5Y%2BK5LqS5Yqp5YWx5aW96KOc5Yqp6KiI55Wr56ys5LiA6ZqO5q615qC45a6a6KGoLnBkZg%3D%3D&amp;u=LzAwMS9VcGxvYWQvMzU4L3JlbGZpbGUvNTc4ODEvOTM0NzQ3MS85NDI4MWFhZC0zMTZhLTQ2YWYtOTIyZi1iNDBmYjU4MjY2ZTEucGRm</x:v>
      </x:c>
      <x:c r="P37" s="30" t="n">
        <x:v>46237</x:v>
      </x:c>
      <x:c r="Q37" s="25" t="str">
        <x:v>verified</x:v>
      </x:c>
      <x:c r="R37" s="25" t="str">
        <x:v>low_evidence</x:v>
      </x:c>
      <x:c r="S37" s="26" t="b">
        <x:v>0</x:v>
      </x:c>
      <x:c r="T37" s="33" t="n">
        <x:v>46237.5</x:v>
      </x:c>
      <x:c r="U37" s="33" t="n">
        <x:v>46237.5</x:v>
      </x:c>
      <x:c r="V37" s="25" t="str">
        <x:v>1.1.0</x:v>
      </x:c>
      <x:c r="W37" s="36" t="str">
        <x:v>來源轉錄碼 SRC-ACT-2025-001；核定表編號 2，PDF 第 1 頁。 原始預定期間：2月及5月各擇1日。 預計受益人數：500；此值不是實際參與人次。 核定金額：新臺幣 20000 元；本 Sprint 不以金額評估成效。 證據只支持方案獲核定與預定執行期間，未查得核銷或成果資料，不得解讀為已執行或完成。</x:v>
      </x:c>
      <x:c r="X37" s="39" t="n">
        <x:f>VALUE(MID(A37,5,4))</x:f>
        <x:v>2025</x:v>
      </x:c>
    </x:row>
    <x:row r="38">
      <x:c r="A38" s="25" t="str">
        <x:v>ACT-2025-0002</x:v>
      </x:c>
      <x:c r="B38" s="25" t="str">
        <x:v>COM-0023</x:v>
      </x:c>
      <x:c r="C38" s="25" t="str">
        <x:v>耆老傳承親子活動</x:v>
      </x:c>
      <x:c r="D38" s="25" t="str">
        <x:v>youth_engagement</x:v>
      </x:c>
      <x:c r="E38" s="36" t="str">
        <x:v>臺北市政府社會局核定之「耆老傳承親子活動」方案；本紀錄保留核定名稱與預定執行期間。</x:v>
      </x:c>
      <x:c r="F38" s="30" t="n">
        <x:v>45689</x:v>
      </x:c>
      <x:c r="G38" s="30" t="n">
        <x:v>45716</x:v>
      </x:c>
      <x:c r="H38" s="26" t="b">
        <x:v>0</x:v>
      </x:c>
      <x:c r="I38" s="25"/>
      <x:c r="J38" s="25"/>
      <x:c r="K38" s="25"/>
      <x:c r="L38" s="25"/>
      <x:c r="M38" s="25" t="str">
        <x:v>A</x:v>
      </x:c>
      <x:c r="N38" s="25" t="str">
        <x:v>114年度推動社區發展及互助共好補助計畫第一階段核定表</x:v>
      </x:c>
      <x:c r="O38" s="25" t="str">
        <x:v>https://www-ws.gov.taipei/Download.ashx?icon=..pdf&amp;n=MTE05bm05bqm56S%2B5Y2A55m85bGV5Y%2BK5LqS5Yqp5YWx5aW96KOc5Yqp6KiI55Wr56ys5LiA6ZqO5q615qC45a6a6KGoLnBkZg%3D%3D&amp;u=LzAwMS9VcGxvYWQvMzU4L3JlbGZpbGUvNTc4ODEvOTM0NzQ3MS85NDI4MWFhZC0zMTZhLTQ2YWYtOTIyZi1iNDBmYjU4MjY2ZTEucGRm</x:v>
      </x:c>
      <x:c r="P38" s="30" t="n">
        <x:v>46237</x:v>
      </x:c>
      <x:c r="Q38" s="25" t="str">
        <x:v>verified</x:v>
      </x:c>
      <x:c r="R38" s="25" t="str">
        <x:v>low_evidence</x:v>
      </x:c>
      <x:c r="S38" s="26" t="b">
        <x:v>0</x:v>
      </x:c>
      <x:c r="T38" s="33" t="n">
        <x:v>46237.5</x:v>
      </x:c>
      <x:c r="U38" s="33" t="n">
        <x:v>46237.5</x:v>
      </x:c>
      <x:c r="V38" s="25" t="str">
        <x:v>1.1.0</x:v>
      </x:c>
      <x:c r="W38" s="36" t="str">
        <x:v>來源轉錄碼 SRC-ACT-2025-002；核定表編號 3，PDF 第 1 頁。 原始預定期間：2月擇1日。 預計受益人數：250；此值不是實際參與人次。 核定金額：新臺幣 20000 元；本 Sprint 不以金額評估成效。 證據只支持方案獲核定與預定執行期間，未查得核銷或成果資料，不得解讀為已執行或完成。</x:v>
      </x:c>
      <x:c r="X38" s="39" t="n">
        <x:f>VALUE(MID(A38,5,4))</x:f>
        <x:v>2025</x:v>
      </x:c>
    </x:row>
    <x:row r="39">
      <x:c r="A39" s="25" t="str">
        <x:v>ACT-2025-0003</x:v>
      </x:c>
      <x:c r="B39" s="25" t="str">
        <x:v>COM-0010</x:v>
      </x:c>
      <x:c r="C39" s="25" t="str">
        <x:v>元宵節活動</x:v>
      </x:c>
      <x:c r="D39" s="25" t="str">
        <x:v>culture</x:v>
      </x:c>
      <x:c r="E39" s="36" t="str">
        <x:v>臺北市政府社會局核定之「元宵節活動」方案；本紀錄保留核定名稱與預定執行期間。</x:v>
      </x:c>
      <x:c r="F39" s="30" t="n">
        <x:v>45689</x:v>
      </x:c>
      <x:c r="G39" s="30" t="n">
        <x:v>45716</x:v>
      </x:c>
      <x:c r="H39" s="26" t="b">
        <x:v>0</x:v>
      </x:c>
      <x:c r="I39" s="25"/>
      <x:c r="J39" s="25"/>
      <x:c r="K39" s="25"/>
      <x:c r="L39" s="25"/>
      <x:c r="M39" s="25" t="str">
        <x:v>A</x:v>
      </x:c>
      <x:c r="N39" s="25" t="str">
        <x:v>114年度推動社區發展及互助共好補助計畫第一階段核定表</x:v>
      </x:c>
      <x:c r="O39" s="25" t="str">
        <x:v>https://www-ws.gov.taipei/Download.ashx?icon=..pdf&amp;n=MTE05bm05bqm56S%2B5Y2A55m85bGV5Y%2BK5LqS5Yqp5YWx5aW96KOc5Yqp6KiI55Wr56ys5LiA6ZqO5q615qC45a6a6KGoLnBkZg%3D%3D&amp;u=LzAwMS9VcGxvYWQvMzU4L3JlbGZpbGUvNTc4ODEvOTM0NzQ3MS85NDI4MWFhZC0zMTZhLTQ2YWYtOTIyZi1iNDBmYjU4MjY2ZTEucGRm</x:v>
      </x:c>
      <x:c r="P39" s="30" t="n">
        <x:v>46237</x:v>
      </x:c>
      <x:c r="Q39" s="25" t="str">
        <x:v>verified</x:v>
      </x:c>
      <x:c r="R39" s="25" t="str">
        <x:v>low_evidence</x:v>
      </x:c>
      <x:c r="S39" s="26" t="b">
        <x:v>0</x:v>
      </x:c>
      <x:c r="T39" s="33" t="n">
        <x:v>46237.5</x:v>
      </x:c>
      <x:c r="U39" s="33" t="n">
        <x:v>46237.5</x:v>
      </x:c>
      <x:c r="V39" s="25" t="str">
        <x:v>1.1.0</x:v>
      </x:c>
      <x:c r="W39" s="36" t="str">
        <x:v>來源轉錄碼 SRC-ACT-2025-003；核定表編號 4，PDF 第 1 頁。 原始預定期間：2月擇1日。 預計受益人數：250；此值不是實際參與人次。 核定金額：新臺幣 20000 元；本 Sprint 不以金額評估成效。 證據只支持方案獲核定與預定執行期間，未查得核銷或成果資料，不得解讀為已執行或完成。</x:v>
      </x:c>
      <x:c r="X39" s="39" t="n">
        <x:f>VALUE(MID(A39,5,4))</x:f>
        <x:v>2025</x:v>
      </x:c>
    </x:row>
    <x:row r="40">
      <x:c r="A40" s="25" t="str">
        <x:v>ACT-2025-0004</x:v>
      </x:c>
      <x:c r="B40" s="25" t="str">
        <x:v>COM-0017</x:v>
      </x:c>
      <x:c r="C40" s="25" t="str">
        <x:v>綠堤里歡慶元宵活動</x:v>
      </x:c>
      <x:c r="D40" s="25" t="str">
        <x:v>culture</x:v>
      </x:c>
      <x:c r="E40" s="36" t="str">
        <x:v>臺北市政府社會局核定之「綠堤里歡慶元宵活動」方案；本紀錄保留核定名稱與預定執行期間。</x:v>
      </x:c>
      <x:c r="F40" s="30" t="n">
        <x:v>45689</x:v>
      </x:c>
      <x:c r="G40" s="30" t="n">
        <x:v>45716</x:v>
      </x:c>
      <x:c r="H40" s="26" t="b">
        <x:v>0</x:v>
      </x:c>
      <x:c r="I40" s="25"/>
      <x:c r="J40" s="25"/>
      <x:c r="K40" s="25"/>
      <x:c r="L40" s="25"/>
      <x:c r="M40" s="25" t="str">
        <x:v>A</x:v>
      </x:c>
      <x:c r="N40" s="25" t="str">
        <x:v>114年度推動社區發展及互助共好補助計畫第一階段核定表</x:v>
      </x:c>
      <x:c r="O40" s="25" t="str">
        <x:v>https://www-ws.gov.taipei/Download.ashx?icon=..pdf&amp;n=MTE05bm05bqm56S%2B5Y2A55m85bGV5Y%2BK5LqS5Yqp5YWx5aW96KOc5Yqp6KiI55Wr56ys5LiA6ZqO5q615qC45a6a6KGoLnBkZg%3D%3D&amp;u=LzAwMS9VcGxvYWQvMzU4L3JlbGZpbGUvNTc4ODEvOTM0NzQ3MS85NDI4MWFhZC0zMTZhLTQ2YWYtOTIyZi1iNDBmYjU4MjY2ZTEucGRm</x:v>
      </x:c>
      <x:c r="P40" s="30" t="n">
        <x:v>46237</x:v>
      </x:c>
      <x:c r="Q40" s="25" t="str">
        <x:v>verified</x:v>
      </x:c>
      <x:c r="R40" s="25" t="str">
        <x:v>low_evidence</x:v>
      </x:c>
      <x:c r="S40" s="26" t="b">
        <x:v>0</x:v>
      </x:c>
      <x:c r="T40" s="33" t="n">
        <x:v>46237.5</x:v>
      </x:c>
      <x:c r="U40" s="33" t="n">
        <x:v>46237.5</x:v>
      </x:c>
      <x:c r="V40" s="25" t="str">
        <x:v>1.1.0</x:v>
      </x:c>
      <x:c r="W40" s="36" t="str">
        <x:v>來源轉錄碼 SRC-ACT-2025-004；核定表編號 5，PDF 第 1 頁。 原始預定期間：2月擇1日。 預計受益人數：400；此值不是實際參與人次。 核定金額：新臺幣 20000 元；本 Sprint 不以金額評估成效。 證據只支持方案獲核定與預定執行期間，未查得核銷或成果資料，不得解讀為已執行或完成。</x:v>
      </x:c>
      <x:c r="X40" s="39" t="n">
        <x:f>VALUE(MID(A40,5,4))</x:f>
        <x:v>2025</x:v>
      </x:c>
    </x:row>
    <x:row r="41">
      <x:c r="A41" s="25" t="str">
        <x:v>ACT-2025-0005</x:v>
      </x:c>
      <x:c r="B41" s="25" t="str">
        <x:v>COM-0006</x:v>
      </x:c>
      <x:c r="C41" s="25" t="str">
        <x:v>元宵踩街活動</x:v>
      </x:c>
      <x:c r="D41" s="25" t="str">
        <x:v>culture</x:v>
      </x:c>
      <x:c r="E41" s="36" t="str">
        <x:v>臺北市政府社會局核定之「元宵踩街活動」方案；本紀錄保留核定名稱與預定執行期間。</x:v>
      </x:c>
      <x:c r="F41" s="30" t="n">
        <x:v>45689</x:v>
      </x:c>
      <x:c r="G41" s="30" t="n">
        <x:v>45716</x:v>
      </x:c>
      <x:c r="H41" s="26" t="b">
        <x:v>0</x:v>
      </x:c>
      <x:c r="I41" s="25"/>
      <x:c r="J41" s="25"/>
      <x:c r="K41" s="25"/>
      <x:c r="L41" s="25"/>
      <x:c r="M41" s="25" t="str">
        <x:v>A</x:v>
      </x:c>
      <x:c r="N41" s="25" t="str">
        <x:v>114年度推動社區發展及互助共好補助計畫第一階段核定表</x:v>
      </x:c>
      <x:c r="O41" s="25" t="str">
        <x:v>https://www-ws.gov.taipei/Download.ashx?icon=..pdf&amp;n=MTE05bm05bqm56S%2B5Y2A55m85bGV5Y%2BK5LqS5Yqp5YWx5aW96KOc5Yqp6KiI55Wr56ys5LiA6ZqO5q615qC45a6a6KGoLnBkZg%3D%3D&amp;u=LzAwMS9VcGxvYWQvMzU4L3JlbGZpbGUvNTc4ODEvOTM0NzQ3MS85NDI4MWFhZC0zMTZhLTQ2YWYtOTIyZi1iNDBmYjU4MjY2ZTEucGRm</x:v>
      </x:c>
      <x:c r="P41" s="30" t="n">
        <x:v>46237</x:v>
      </x:c>
      <x:c r="Q41" s="25" t="str">
        <x:v>verified</x:v>
      </x:c>
      <x:c r="R41" s="25" t="str">
        <x:v>low_evidence</x:v>
      </x:c>
      <x:c r="S41" s="26" t="b">
        <x:v>0</x:v>
      </x:c>
      <x:c r="T41" s="33" t="n">
        <x:v>46237.5</x:v>
      </x:c>
      <x:c r="U41" s="33" t="n">
        <x:v>46237.5</x:v>
      </x:c>
      <x:c r="V41" s="25" t="str">
        <x:v>1.1.0</x:v>
      </x:c>
      <x:c r="W41" s="36" t="str">
        <x:v>來源轉錄碼 SRC-ACT-2025-005；核定表編號 21，PDF 第 2 頁。 原始預定期間：2月擇1日。 預計受益人數：350；此值不是實際參與人次。 核定金額：新臺幣 20000 元；本 Sprint 不以金額評估成效。 證據只支持方案獲核定與預定執行期間，未查得核銷或成果資料，不得解讀為已執行或完成。</x:v>
      </x:c>
      <x:c r="X41" s="39" t="n">
        <x:f>VALUE(MID(A41,5,4))</x:f>
        <x:v>2025</x:v>
      </x:c>
    </x:row>
    <x:row r="42">
      <x:c r="A42" s="25" t="str">
        <x:v>ACT-2025-0006</x:v>
      </x:c>
      <x:c r="B42" s="25" t="str">
        <x:v>COM-0023</x:v>
      </x:c>
      <x:c r="C42" s="25" t="str">
        <x:v>社區多元關懷服務</x:v>
      </x:c>
      <x:c r="D42" s="25" t="str">
        <x:v>care_service</x:v>
      </x:c>
      <x:c r="E42" s="36" t="str">
        <x:v>臺北市政府社會局核定之「社區多元關懷服務」方案；本紀錄保留核定名稱與預定執行期間。</x:v>
      </x:c>
      <x:c r="F42" s="30" t="n">
        <x:v>45658</x:v>
      </x:c>
      <x:c r="G42" s="30" t="n">
        <x:v>46022</x:v>
      </x:c>
      <x:c r="H42" s="26" t="b">
        <x:v>1</x:v>
      </x:c>
      <x:c r="I42" s="25"/>
      <x:c r="J42" s="25"/>
      <x:c r="K42" s="25"/>
      <x:c r="L42" s="25"/>
      <x:c r="M42" s="25" t="str">
        <x:v>A</x:v>
      </x:c>
      <x:c r="N42" s="25" t="str">
        <x:v>114年社區發展及互助共好補助計畫專案五、專案六第一梯次核定表</x:v>
      </x:c>
      <x:c r="O42" s="25" t="str">
        <x:v>https://www-ws.gov.taipei/Download.ashx?icon=..pdf&amp;n=5bCI5qGI5LqU5bCI5qGI5YWt56ys5LiA5qKv5qyh5qC45a6a6KGoLnBkZg%3D%3D&amp;u=LzAwMS9VcGxvYWQvMzU4L3JlbGZpbGUvNTc4ODEvOTM5ODc1OS8yYWRmYzk1ZC01NWJhLTQzMjktOTkwZS03MDg2ZmM5N2UyMjUucGRm</x:v>
      </x:c>
      <x:c r="P42" s="30" t="n">
        <x:v>46237</x:v>
      </x:c>
      <x:c r="Q42" s="25" t="str">
        <x:v>verified</x:v>
      </x:c>
      <x:c r="R42" s="25" t="str">
        <x:v>low_evidence</x:v>
      </x:c>
      <x:c r="S42" s="26" t="b">
        <x:v>0</x:v>
      </x:c>
      <x:c r="T42" s="33" t="n">
        <x:v>46237.5</x:v>
      </x:c>
      <x:c r="U42" s="33" t="n">
        <x:v>46237.5</x:v>
      </x:c>
      <x:c r="V42" s="25" t="str">
        <x:v>1.1.0</x:v>
      </x:c>
      <x:c r="W42" s="36" t="str">
        <x:v>來源轉錄碼 SRC-ACT-2025-006；核定表編號 3，PDF 第 1 頁。 原始預定期間：1月1日–12月31日。 核定金額：新臺幣 550000 元；本 Sprint 不以金額評估成效。 證據只支持方案獲核定與預定執行期間，未查得核銷或成果資料，不得解讀為已執行或完成。</x:v>
      </x:c>
      <x:c r="X42" s="39" t="n">
        <x:f>VALUE(MID(A42,5,4))</x:f>
        <x:v>2025</x:v>
      </x:c>
    </x:row>
    <x:row r="43">
      <x:c r="A43" s="25" t="str">
        <x:v>ACT-2025-0007</x:v>
      </x:c>
      <x:c r="B43" s="25" t="str">
        <x:v>COM-0005</x:v>
      </x:c>
      <x:c r="C43" s="25" t="str">
        <x:v>互助共好社區生活方案</x:v>
      </x:c>
      <x:c r="D43" s="25" t="str">
        <x:v>care_service</x:v>
      </x:c>
      <x:c r="E43" s="36" t="str">
        <x:v>臺北市政府社會局核定之「互助共好社區生活方案」方案；本紀錄保留核定名稱與預定執行期間。</x:v>
      </x:c>
      <x:c r="F43" s="30" t="n">
        <x:v>45673</x:v>
      </x:c>
      <x:c r="G43" s="30" t="n">
        <x:v>46006</x:v>
      </x:c>
      <x:c r="H43" s="26" t="b">
        <x:v>1</x:v>
      </x:c>
      <x:c r="I43" s="25"/>
      <x:c r="J43" s="25"/>
      <x:c r="K43" s="25"/>
      <x:c r="L43" s="25"/>
      <x:c r="M43" s="25" t="str">
        <x:v>A</x:v>
      </x:c>
      <x:c r="N43" s="25" t="str">
        <x:v>114年社區發展及互助共好補助計畫專案五、專案六第一梯次核定表</x:v>
      </x:c>
      <x:c r="O43" s="25" t="str">
        <x:v>https://www-ws.gov.taipei/Download.ashx?icon=..pdf&amp;n=5bCI5qGI5LqU5bCI5qGI5YWt56ys5LiA5qKv5qyh5qC45a6a6KGoLnBkZg%3D%3D&amp;u=LzAwMS9VcGxvYWQvMzU4L3JlbGZpbGUvNTc4ODEvOTM5ODc1OS8yYWRmYzk1ZC01NWJhLTQzMjktOTkwZS03MDg2ZmM5N2UyMjUucGRm</x:v>
      </x:c>
      <x:c r="P43" s="30" t="n">
        <x:v>46237</x:v>
      </x:c>
      <x:c r="Q43" s="25" t="str">
        <x:v>verified</x:v>
      </x:c>
      <x:c r="R43" s="25" t="str">
        <x:v>low_evidence</x:v>
      </x:c>
      <x:c r="S43" s="26" t="b">
        <x:v>0</x:v>
      </x:c>
      <x:c r="T43" s="33" t="n">
        <x:v>46237.5</x:v>
      </x:c>
      <x:c r="U43" s="33" t="n">
        <x:v>46237.5</x:v>
      </x:c>
      <x:c r="V43" s="25" t="str">
        <x:v>1.1.0</x:v>
      </x:c>
      <x:c r="W43" s="36" t="str">
        <x:v>來源轉錄碼 SRC-ACT-2025-007；核定表編號 18，PDF 第 4 頁。 原始預定期間：1月16日–12月15日。 核定金額：新臺幣 350000 元；本 Sprint 不以金額評估成效。 證據只支持方案獲核定與預定執行期間，未查得核銷或成果資料，不得解讀為已執行或完成。</x:v>
      </x:c>
      <x:c r="X43" s="39" t="n">
        <x:f>VALUE(MID(A43,5,4))</x:f>
        <x:v>2025</x:v>
      </x:c>
    </x:row>
    <x:row r="44">
      <x:c r="A44" s="25" t="str">
        <x:v>ACT-2025-0008</x:v>
      </x:c>
      <x:c r="B44" s="25" t="str">
        <x:v>COM-0007</x:v>
      </x:c>
      <x:c r="C44" s="25" t="str">
        <x:v>新忠社區互助共好大家庭</x:v>
      </x:c>
      <x:c r="D44" s="25" t="str">
        <x:v>care_service</x:v>
      </x:c>
      <x:c r="E44" s="36" t="str">
        <x:v>臺北市政府社會局核定之「新忠社區互助共好大家庭」方案；本紀錄保留核定名稱與預定執行期間。</x:v>
      </x:c>
      <x:c r="F44" s="30" t="n">
        <x:v>45658</x:v>
      </x:c>
      <x:c r="G44" s="30" t="n">
        <x:v>46022</x:v>
      </x:c>
      <x:c r="H44" s="26" t="b">
        <x:v>1</x:v>
      </x:c>
      <x:c r="I44" s="25"/>
      <x:c r="J44" s="25"/>
      <x:c r="K44" s="25"/>
      <x:c r="L44" s="25"/>
      <x:c r="M44" s="25" t="str">
        <x:v>A</x:v>
      </x:c>
      <x:c r="N44" s="25" t="str">
        <x:v>114年社區發展及互助共好補助計畫專案五、專案六第一梯次核定表</x:v>
      </x:c>
      <x:c r="O44" s="25" t="str">
        <x:v>https://www-ws.gov.taipei/Download.ashx?icon=..pdf&amp;n=5bCI5qGI5LqU5bCI5qGI5YWt56ys5LiA5qKv5qyh5qC45a6a6KGoLnBkZg%3D%3D&amp;u=LzAwMS9VcGxvYWQvMzU4L3JlbGZpbGUvNTc4ODEvOTM5ODc1OS8yYWRmYzk1ZC01NWJhLTQzMjktOTkwZS03MDg2ZmM5N2UyMjUucGRm</x:v>
      </x:c>
      <x:c r="P44" s="30" t="n">
        <x:v>46237</x:v>
      </x:c>
      <x:c r="Q44" s="25" t="str">
        <x:v>verified</x:v>
      </x:c>
      <x:c r="R44" s="25" t="str">
        <x:v>low_evidence</x:v>
      </x:c>
      <x:c r="S44" s="26" t="b">
        <x:v>0</x:v>
      </x:c>
      <x:c r="T44" s="33" t="n">
        <x:v>46237.5</x:v>
      </x:c>
      <x:c r="U44" s="33" t="n">
        <x:v>46237.5</x:v>
      </x:c>
      <x:c r="V44" s="25" t="str">
        <x:v>1.1.0</x:v>
      </x:c>
      <x:c r="W44" s="36" t="str">
        <x:v>來源轉錄碼 SRC-ACT-2025-008；核定表編號 21，PDF 第 5 頁。 原始預定期間：1月1日–12月31日。 核定金額：新臺幣 500000 元；本 Sprint 不以金額評估成效。 證據只支持方案獲核定與預定執行期間，未查得核銷或成果資料，不得解讀為已執行或完成。</x:v>
      </x:c>
      <x:c r="X44" s="39" t="n">
        <x:f>VALUE(MID(A44,5,4))</x:f>
        <x:v>2025</x:v>
      </x:c>
    </x:row>
    <x:row r="45">
      <x:c r="A45" s="25" t="str">
        <x:v>ACT-2025-0009</x:v>
      </x:c>
      <x:c r="B45" s="25" t="str">
        <x:v>COM-0010</x:v>
      </x:c>
      <x:c r="C45" s="25" t="str">
        <x:v>社區互助關懷、共創美好社區</x:v>
      </x:c>
      <x:c r="D45" s="25" t="str">
        <x:v>care_service</x:v>
      </x:c>
      <x:c r="E45" s="36" t="str">
        <x:v>臺北市政府社會局核定之「社區互助關懷、共創美好社區」方案；本紀錄保留核定名稱與預定執行期間。</x:v>
      </x:c>
      <x:c r="F45" s="30" t="n">
        <x:v>45658</x:v>
      </x:c>
      <x:c r="G45" s="30" t="n">
        <x:v>46022</x:v>
      </x:c>
      <x:c r="H45" s="26" t="b">
        <x:v>1</x:v>
      </x:c>
      <x:c r="I45" s="25"/>
      <x:c r="J45" s="25"/>
      <x:c r="K45" s="25"/>
      <x:c r="L45" s="25"/>
      <x:c r="M45" s="25" t="str">
        <x:v>A</x:v>
      </x:c>
      <x:c r="N45" s="25" t="str">
        <x:v>114年社區發展及互助共好補助計畫專案五、專案六第一梯次核定表</x:v>
      </x:c>
      <x:c r="O45" s="25" t="str">
        <x:v>https://www-ws.gov.taipei/Download.ashx?icon=..pdf&amp;n=5bCI5qGI5LqU5bCI5qGI5YWt56ys5LiA5qKv5qyh5qC45a6a6KGoLnBkZg%3D%3D&amp;u=LzAwMS9VcGxvYWQvMzU4L3JlbGZpbGUvNTc4ODEvOTM5ODc1OS8yYWRmYzk1ZC01NWJhLTQzMjktOTkwZS03MDg2ZmM5N2UyMjUucGRm</x:v>
      </x:c>
      <x:c r="P45" s="30" t="n">
        <x:v>46237</x:v>
      </x:c>
      <x:c r="Q45" s="25" t="str">
        <x:v>verified</x:v>
      </x:c>
      <x:c r="R45" s="25" t="str">
        <x:v>low_evidence</x:v>
      </x:c>
      <x:c r="S45" s="26" t="b">
        <x:v>0</x:v>
      </x:c>
      <x:c r="T45" s="33" t="n">
        <x:v>46237.5</x:v>
      </x:c>
      <x:c r="U45" s="33" t="n">
        <x:v>46237.5</x:v>
      </x:c>
      <x:c r="V45" s="25" t="str">
        <x:v>1.1.0</x:v>
      </x:c>
      <x:c r="W45" s="36" t="str">
        <x:v>來源轉錄碼 SRC-ACT-2025-009；核定表編號 34，PDF 第 9 頁。 原始預定期間：1月1日–12月31日。 核定金額：新臺幣 500000 元；本 Sprint 不以金額評估成效。 證據只支持方案獲核定與預定執行期間，未查得核銷或成果資料，不得解讀為已執行或完成。</x:v>
      </x:c>
      <x:c r="X45" s="39" t="n">
        <x:f>VALUE(MID(A45,5,4))</x:f>
        <x:v>2025</x:v>
      </x:c>
    </x:row>
    <x:row r="46">
      <x:c r="A46" s="25" t="str">
        <x:v>ACT-2025-0010</x:v>
      </x:c>
      <x:c r="B46" s="25" t="str">
        <x:v>COM-0007</x:v>
      </x:c>
      <x:c r="C46" s="25" t="str">
        <x:v>長者生命故事共寫社區記憶食譜</x:v>
      </x:c>
      <x:c r="D46" s="25" t="str">
        <x:v>culture</x:v>
      </x:c>
      <x:c r="E46" s="36" t="str">
        <x:v>臺北市政府社會局核定之「長者生命故事共寫社區記憶食譜」方案；本紀錄保留核定名稱與預定執行期間。</x:v>
      </x:c>
      <x:c r="F46" s="30" t="n">
        <x:v>45778</x:v>
      </x:c>
      <x:c r="G46" s="30" t="n">
        <x:v>46022</x:v>
      </x:c>
      <x:c r="H46" s="26" t="b">
        <x:v>1</x:v>
      </x:c>
      <x:c r="I46" s="25"/>
      <x:c r="J46" s="25"/>
      <x:c r="K46" s="25"/>
      <x:c r="L46" s="25"/>
      <x:c r="M46" s="25" t="str">
        <x:v>A</x:v>
      </x:c>
      <x:c r="N46" s="25" t="str">
        <x:v>114年度推動社區發展及互助共好補助計畫第三階段第三梯次核定表－專案四</x:v>
      </x:c>
      <x:c r="O46" s="25" t="str">
        <x:v>https://www-ws.gov.taipei/Download.ashx?icon=..pdf&amp;n=MTE05bm05bqm56S%2B5Y2A55m85bGV5Y%2BK5LqS5Yqp5YWx5aW96KOc5Yqp6KiI55Wr56ys5LiJ6ZqO5q6156ys5LiJ5qKv5qyh5qC45a6a6KGoLeWwiOahiOWbmygxMTQwNTE05qC45a6aKS5wZGY%3D&amp;u=LzAwMS9VcGxvYWQvMzU4L3JlbGZpbGUvNTc4ODEvOTM4NzQ4MS83MmE2NGI5OC1mZWI0LTQxOTItODhhMy1kZTEzYzg4YTgwNDkucGRm</x:v>
      </x:c>
      <x:c r="P46" s="30" t="n">
        <x:v>46237</x:v>
      </x:c>
      <x:c r="Q46" s="25" t="str">
        <x:v>verified</x:v>
      </x:c>
      <x:c r="R46" s="25" t="str">
        <x:v>low_evidence</x:v>
      </x:c>
      <x:c r="S46" s="26" t="b">
        <x:v>0</x:v>
      </x:c>
      <x:c r="T46" s="33" t="n">
        <x:v>46237.5</x:v>
      </x:c>
      <x:c r="U46" s="33" t="n">
        <x:v>46237.5</x:v>
      </x:c>
      <x:c r="V46" s="25" t="str">
        <x:v>1.1.0</x:v>
      </x:c>
      <x:c r="W46" s="36" t="str">
        <x:v>來源轉錄碼 SRC-ACT-2025-010；核定表編號 322，PDF 第 1 頁。 原始預定期間：5–12月。 預計受益人數：90；此值不是實際參與人次。 核定金額：新臺幣 95000 元；本 Sprint 不以金額評估成效。 證據只支持方案獲核定與預定執行期間，未查得核銷或成果資料，不得解讀為已執行或完成。</x:v>
      </x:c>
      <x:c r="X46" s="39" t="n">
        <x:f>VALUE(MID(A46,5,4))</x:f>
        <x:v>2025</x:v>
      </x:c>
    </x:row>
    <x:row r="47">
      <x:c r="A47" s="25" t="str">
        <x:v>ACT-2026-0001</x:v>
      </x:c>
      <x:c r="B47" s="25" t="str">
        <x:v>COM-0023</x:v>
      </x:c>
      <x:c r="C47" s="25" t="str">
        <x:v>社區多元關懷服務</x:v>
      </x:c>
      <x:c r="D47" s="25" t="str">
        <x:v>care_service</x:v>
      </x:c>
      <x:c r="E47" s="36" t="str">
        <x:v>臺北市政府社會局核定之「社區多元關懷服務」方案；本紀錄保留核定名稱與預定執行期間。</x:v>
      </x:c>
      <x:c r="F47" s="30" t="n">
        <x:v>46023</x:v>
      </x:c>
      <x:c r="G47" s="30" t="n">
        <x:v>46387</x:v>
      </x:c>
      <x:c r="H47" s="26" t="b">
        <x:v>1</x:v>
      </x:c>
      <x:c r="I47" s="25"/>
      <x:c r="J47" s="25"/>
      <x:c r="K47" s="25"/>
      <x:c r="L47" s="25"/>
      <x:c r="M47" s="25" t="str">
        <x:v>A</x:v>
      </x:c>
      <x:c r="N47" s="25" t="str">
        <x:v>115年社區發展及互助共好補助計畫專案五、專案六核定表（115.05.04核定）</x:v>
      </x:c>
      <x:c r="O47" s="25" t="str">
        <x:v>https://www-ws.gov.taipei/Download.ashx?icon=..pdf&amp;n=MTE15bm056S%2B5Y2A55m85bGV5Y%2BK5LqS5Yqp5YWx5aW96KOc5Yqp6KiI55Wr5bCI5qGI5LqU44CB5bCI5qGI5YWt5qC45a6a6KGoLnBkZg%3D%3D&amp;u=LzAwMS9VcGxvYWQvMzU4L3JlbGZpbGUvNTc4ODEvOTU3MjQyMy8yZWZjYzU4Ni0zYjU0LTQwMjAtODRjMC1lYjAwMmRkM2I5NWIucGRm</x:v>
      </x:c>
      <x:c r="P47" s="30" t="n">
        <x:v>46237</x:v>
      </x:c>
      <x:c r="Q47" s="25" t="str">
        <x:v>verified</x:v>
      </x:c>
      <x:c r="R47" s="25" t="str">
        <x:v>low_evidence</x:v>
      </x:c>
      <x:c r="S47" s="26" t="b">
        <x:v>0</x:v>
      </x:c>
      <x:c r="T47" s="33" t="n">
        <x:v>46237.5</x:v>
      </x:c>
      <x:c r="U47" s="33" t="n">
        <x:v>46237.5</x:v>
      </x:c>
      <x:c r="V47" s="25" t="str">
        <x:v>1.1.0</x:v>
      </x:c>
      <x:c r="W47" s="36" t="str">
        <x:v>來源轉錄碼 SRC-ACT-2026-001；核定表編號 5，PDF 第 10 頁。 原始預定期間：115年1月1日–115年12月31日。 核定金額：新臺幣 580000 元；本 Sprint 不以金額評估成效。 證據只支持方案獲核定與預定執行期間，未查得核銷或成果資料，不得解讀為已執行或完成。</x:v>
      </x:c>
      <x:c r="X47" s="39" t="n">
        <x:f>VALUE(MID(A47,5,4))</x:f>
        <x:v>2026</x:v>
      </x:c>
    </x:row>
    <x:row r="48">
      <x:c r="A48" s="25" t="str">
        <x:v>ACT-2026-0002</x:v>
      </x:c>
      <x:c r="B48" s="25" t="str">
        <x:v>COM-0005</x:v>
      </x:c>
      <x:c r="C48" s="25" t="str">
        <x:v>互助共好社區生活方案</x:v>
      </x:c>
      <x:c r="D48" s="25" t="str">
        <x:v>care_service</x:v>
      </x:c>
      <x:c r="E48" s="36" t="str">
        <x:v>臺北市政府社會局核定之「互助共好社區生活方案」方案；本紀錄保留核定名稱與預定執行期間。</x:v>
      </x:c>
      <x:c r="F48" s="30" t="n">
        <x:v>46023</x:v>
      </x:c>
      <x:c r="G48" s="30" t="n">
        <x:v>46387</x:v>
      </x:c>
      <x:c r="H48" s="26" t="b">
        <x:v>1</x:v>
      </x:c>
      <x:c r="I48" s="25"/>
      <x:c r="J48" s="25"/>
      <x:c r="K48" s="25"/>
      <x:c r="L48" s="25"/>
      <x:c r="M48" s="25" t="str">
        <x:v>A</x:v>
      </x:c>
      <x:c r="N48" s="25" t="str">
        <x:v>115年社區發展及互助共好補助計畫專案五、專案六核定表（115.05.04核定）</x:v>
      </x:c>
      <x:c r="O48" s="25" t="str">
        <x:v>https://www-ws.gov.taipei/Download.ashx?icon=..pdf&amp;n=MTE15bm056S%2B5Y2A55m85bGV5Y%2BK5LqS5Yqp5YWx5aW96KOc5Yqp6KiI55Wr5bCI5qGI5LqU44CB5bCI5qGI5YWt5qC45a6a6KGoLnBkZg%3D%3D&amp;u=LzAwMS9VcGxvYWQvMzU4L3JlbGZpbGUvNTc4ODEvOTU3MjQyMy8yZWZjYzU4Ni0zYjU0LTQwMjAtODRjMC1lYjAwMmRkM2I5NWIucGRm</x:v>
      </x:c>
      <x:c r="P48" s="30" t="n">
        <x:v>46237</x:v>
      </x:c>
      <x:c r="Q48" s="25" t="str">
        <x:v>verified</x:v>
      </x:c>
      <x:c r="R48" s="25" t="str">
        <x:v>low_evidence</x:v>
      </x:c>
      <x:c r="S48" s="26" t="b">
        <x:v>0</x:v>
      </x:c>
      <x:c r="T48" s="33" t="n">
        <x:v>46237.5</x:v>
      </x:c>
      <x:c r="U48" s="33" t="n">
        <x:v>46237.5</x:v>
      </x:c>
      <x:c r="V48" s="25" t="str">
        <x:v>1.1.0</x:v>
      </x:c>
      <x:c r="W48" s="36" t="str">
        <x:v>來源轉錄碼 SRC-ACT-2026-002；核定表編號 6，PDF 第 10 頁。 原始預定期間：115年1月1日–115年12月31日。 核定金額：新臺幣 200000 元；本 Sprint 不以金額評估成效。 證據只支持方案獲核定與預定執行期間，未查得核銷或成果資料，不得解讀為已執行或完成。</x:v>
      </x:c>
      <x:c r="X48" s="39" t="n">
        <x:f>VALUE(MID(A48,5,4))</x:f>
        <x:v>2026</x:v>
      </x:c>
    </x:row>
    <x:row r="49">
      <x:c r="A49" s="25" t="str">
        <x:v>ACT-2026-0003</x:v>
      </x:c>
      <x:c r="B49" s="25" t="str">
        <x:v>COM-0007</x:v>
      </x:c>
      <x:c r="C49" s="25" t="str">
        <x:v>新忠社區互助共好大家庭</x:v>
      </x:c>
      <x:c r="D49" s="25" t="str">
        <x:v>care_service</x:v>
      </x:c>
      <x:c r="E49" s="36" t="str">
        <x:v>臺北市政府社會局核定之「新忠社區互助共好大家庭」方案；本紀錄保留核定名稱與預定執行期間。</x:v>
      </x:c>
      <x:c r="F49" s="30" t="n">
        <x:v>46023</x:v>
      </x:c>
      <x:c r="G49" s="30" t="n">
        <x:v>46387</x:v>
      </x:c>
      <x:c r="H49" s="26" t="b">
        <x:v>1</x:v>
      </x:c>
      <x:c r="I49" s="25"/>
      <x:c r="J49" s="25"/>
      <x:c r="K49" s="25"/>
      <x:c r="L49" s="25"/>
      <x:c r="M49" s="25" t="str">
        <x:v>A</x:v>
      </x:c>
      <x:c r="N49" s="25" t="str">
        <x:v>115年社區發展及互助共好補助計畫專案五、專案六核定表（115.05.04核定）</x:v>
      </x:c>
      <x:c r="O49" s="25" t="str">
        <x:v>https://www-ws.gov.taipei/Download.ashx?icon=..pdf&amp;n=MTE15bm056S%2B5Y2A55m85bGV5Y%2BK5LqS5Yqp5YWx5aW96KOc5Yqp6KiI55Wr5bCI5qGI5LqU44CB5bCI5qGI5YWt5qC45a6a6KGoLnBkZg%3D%3D&amp;u=LzAwMS9VcGxvYWQvMzU4L3JlbGZpbGUvNTc4ODEvOTU3MjQyMy8yZWZjYzU4Ni0zYjU0LTQwMjAtODRjMC1lYjAwMmRkM2I5NWIucGRm</x:v>
      </x:c>
      <x:c r="P49" s="30" t="n">
        <x:v>46237</x:v>
      </x:c>
      <x:c r="Q49" s="25" t="str">
        <x:v>verified</x:v>
      </x:c>
      <x:c r="R49" s="25" t="str">
        <x:v>low_evidence</x:v>
      </x:c>
      <x:c r="S49" s="26" t="b">
        <x:v>0</x:v>
      </x:c>
      <x:c r="T49" s="33" t="n">
        <x:v>46237.5</x:v>
      </x:c>
      <x:c r="U49" s="33" t="n">
        <x:v>46237.5</x:v>
      </x:c>
      <x:c r="V49" s="25" t="str">
        <x:v>1.1.0</x:v>
      </x:c>
      <x:c r="W49" s="36" t="str">
        <x:v>來源轉錄碼 SRC-ACT-2026-003；核定表編號 9，PDF 第 10 頁。 原始預定期間：115年1月1日–115年12月31日。 核定金額：新臺幣 500000 元；本 Sprint 不以金額評估成效。 證據只支持方案獲核定與預定執行期間，未查得核銷或成果資料，不得解讀為已執行或完成。</x:v>
      </x:c>
      <x:c r="X49" s="39" t="n">
        <x:f>VALUE(MID(A49,5,4))</x:f>
        <x:v>2026</x:v>
      </x:c>
    </x:row>
    <x:row r="50">
      <x:c r="A50" s="25" t="str">
        <x:v>ACT-2026-0004</x:v>
      </x:c>
      <x:c r="B50" s="25" t="str">
        <x:v>COM-0010</x:v>
      </x:c>
      <x:c r="C50" s="25" t="str">
        <x:v>社區互助關懷、共創美好社區</x:v>
      </x:c>
      <x:c r="D50" s="25" t="str">
        <x:v>care_service</x:v>
      </x:c>
      <x:c r="E50" s="36" t="str">
        <x:v>臺北市政府社會局核定之「社區互助關懷、共創美好社區」方案；本紀錄保留核定名稱與預定執行期間。</x:v>
      </x:c>
      <x:c r="F50" s="30" t="n">
        <x:v>46023</x:v>
      </x:c>
      <x:c r="G50" s="30" t="n">
        <x:v>46387</x:v>
      </x:c>
      <x:c r="H50" s="26" t="b">
        <x:v>1</x:v>
      </x:c>
      <x:c r="I50" s="25"/>
      <x:c r="J50" s="25"/>
      <x:c r="K50" s="25"/>
      <x:c r="L50" s="25"/>
      <x:c r="M50" s="25" t="str">
        <x:v>A</x:v>
      </x:c>
      <x:c r="N50" s="25" t="str">
        <x:v>115年社區發展及互助共好補助計畫專案五、專案六核定表（115.05.04核定）</x:v>
      </x:c>
      <x:c r="O50" s="25" t="str">
        <x:v>https://www-ws.gov.taipei/Download.ashx?icon=..pdf&amp;n=MTE15bm056S%2B5Y2A55m85bGV5Y%2BK5LqS5Yqp5YWx5aW96KOc5Yqp6KiI55Wr5bCI5qGI5LqU44CB5bCI5qGI5YWt5qC45a6a6KGoLnBkZg%3D%3D&amp;u=LzAwMS9VcGxvYWQvMzU4L3JlbGZpbGUvNTc4ODEvOTU3MjQyMy8yZWZjYzU4Ni0zYjU0LTQwMjAtODRjMC1lYjAwMmRkM2I5NWIucGRm</x:v>
      </x:c>
      <x:c r="P50" s="30" t="n">
        <x:v>46237</x:v>
      </x:c>
      <x:c r="Q50" s="25" t="str">
        <x:v>verified</x:v>
      </x:c>
      <x:c r="R50" s="25" t="str">
        <x:v>low_evidence</x:v>
      </x:c>
      <x:c r="S50" s="26" t="b">
        <x:v>0</x:v>
      </x:c>
      <x:c r="T50" s="33" t="n">
        <x:v>46237.5</x:v>
      </x:c>
      <x:c r="U50" s="33" t="n">
        <x:v>46237.5</x:v>
      </x:c>
      <x:c r="V50" s="25" t="str">
        <x:v>1.1.0</x:v>
      </x:c>
      <x:c r="W50" s="36" t="str">
        <x:v>來源轉錄碼 SRC-ACT-2026-004；核定表編號 33，PDF 第 10 頁。 原始預定期間：115年1月1日–115年12月31日。 核定金額：新臺幣 500000 元；本 Sprint 不以金額評估成效。 證據只支持方案獲核定與預定執行期間，未查得核銷或成果資料，不得解讀為已執行或完成。</x:v>
      </x:c>
      <x:c r="X50" s="39" t="n">
        <x:f>VALUE(MID(A50,5,4))</x:f>
        <x:v>2026</x:v>
      </x:c>
    </x:row>
    <x:row r="51">
      <x:c r="A51" s="27" t="str">
        <x:v>ACT-2026-0005</x:v>
      </x:c>
      <x:c r="B51" s="27" t="str">
        <x:v>COM-0011</x:v>
      </x:c>
      <x:c r="C51" s="27" t="str">
        <x:v>社區友善共好互持網－壽德親子弱勢共好好未來</x:v>
      </x:c>
      <x:c r="D51" s="27" t="str">
        <x:v>care_service</x:v>
      </x:c>
      <x:c r="E51" s="37" t="str">
        <x:v>臺北市政府社會局核定之「社區友善共好互持網－壽德親子弱勢共好好未來」方案；本紀錄保留核定名稱與預定執行期間。</x:v>
      </x:c>
      <x:c r="F51" s="31" t="n">
        <x:v>46204</x:v>
      </x:c>
      <x:c r="G51" s="31" t="n">
        <x:v>46387</x:v>
      </x:c>
      <x:c r="H51" s="28" t="b">
        <x:v>1</x:v>
      </x:c>
      <x:c r="I51" s="27"/>
      <x:c r="J51" s="27"/>
      <x:c r="K51" s="27"/>
      <x:c r="L51" s="27"/>
      <x:c r="M51" s="27" t="str">
        <x:v>A</x:v>
      </x:c>
      <x:c r="N51" s="27" t="str">
        <x:v>115年社區發展及互助共好補助計畫專案五、專案六核定表（115.05.04核定）</x:v>
      </x:c>
      <x:c r="O51" s="27" t="str">
        <x:v>https://www-ws.gov.taipei/Download.ashx?icon=..pdf&amp;n=MTE15bm056S%2B5Y2A55m85bGV5Y%2BK5LqS5Yqp5YWx5aW96KOc5Yqp6KiI55Wr5bCI5qGI5LqU44CB5bCI5qGI5YWt5qC45a6a6KGoLnBkZg%3D%3D&amp;u=LzAwMS9VcGxvYWQvMzU4L3JlbGZpbGUvNTc4ODEvOTU3MjQyMy8yZWZjYzU4Ni0zYjU0LTQwMjAtODRjMC1lYjAwMmRkM2I5NWIucGRm</x:v>
      </x:c>
      <x:c r="P51" s="31" t="n">
        <x:v>46237</x:v>
      </x:c>
      <x:c r="Q51" s="27" t="str">
        <x:v>verified</x:v>
      </x:c>
      <x:c r="R51" s="27" t="str">
        <x:v>low_evidence</x:v>
      </x:c>
      <x:c r="S51" s="28" t="b">
        <x:v>0</x:v>
      </x:c>
      <x:c r="T51" s="34" t="n">
        <x:v>46237.5</x:v>
      </x:c>
      <x:c r="U51" s="34" t="n">
        <x:v>46237.5</x:v>
      </x:c>
      <x:c r="V51" s="27" t="str">
        <x:v>1.1.0</x:v>
      </x:c>
      <x:c r="W51" s="37" t="str">
        <x:v>來源轉錄碼 SRC-ACT-2026-005；核定表編號 61，PDF 第 11 頁。 原始預定期間：115年7月1日–115年12月31日。 核定金額：新臺幣 150000 元；本 Sprint 不以金額評估成效。 證據只支持方案獲核定與預定執行期間，未查得核銷或成果資料，不得解讀為已執行或完成。</x:v>
      </x:c>
      <x:c r="X51" s="40" t="n">
        <x:f>VALUE(MID(A51,5,4))</x:f>
        <x:v>2026</x:v>
      </x:c>
    </x:row>
  </x:sheetData>
  <x:pageMargins left="0.7" right="0.7" top="0.75" bottom="0.75" header="0.3" footer="0.3"/>
  <x:tableParts count="1">
    <x:tablePart xmlns:r="http://schemas.openxmlformats.org/officeDocument/2006/relationships" r:id="Rc268eb12a5ca44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20" hidden="0" customWidth="1"/>
    <x:col min="4" max="4" width="19" hidden="0" customWidth="1"/>
    <x:col min="5" max="5" width="42" hidden="0" customWidth="1"/>
    <x:col min="6" max="6" width="42" hidden="0" customWidth="1"/>
    <x:col min="7" max="7" width="42" hidden="0" customWidth="1"/>
    <x:col min="8" max="8" width="22" hidden="0" customWidth="1"/>
    <x:col min="9" max="9" width="66" hidden="0" customWidth="1"/>
  </x:cols>
  <x:sheetData>
    <x:row r="1" ht="42" customHeight="1">
      <x:c r="A1" s="42" t="str">
        <x:v>community_id</x:v>
      </x:c>
      <x:c r="B1" s="42" t="str">
        <x:v>association_name_zh</x:v>
      </x:c>
      <x:c r="C1" s="42" t="str">
        <x:v>government_activity_record_count</x:v>
      </x:c>
      <x:c r="D1" s="42" t="str">
        <x:v>government_activity_years</x:v>
      </x:c>
      <x:c r="E1" s="42" t="str">
        <x:v>government_service_url</x:v>
      </x:c>
      <x:c r="F1" s="42" t="str">
        <x:v>official_website_url</x:v>
      </x:c>
      <x:c r="G1" s="42" t="str">
        <x:v>official_facebook_url</x:v>
      </x:c>
      <x:c r="H1" s="42" t="str">
        <x:v>self_managed_source_status</x:v>
      </x:c>
      <x:c r="I1" s="42" t="str">
        <x:v>todo</x:v>
      </x:c>
    </x:row>
    <x:row r="2" ht="30" customHeight="1">
      <x:c r="A2" s="23" t="str">
        <x:v>COM-0001</x:v>
      </x:c>
      <x:c r="B2" s="35" t="str">
        <x:v>臺北市萬華區華江社區發展協會</x:v>
      </x:c>
      <x:c r="C2" s="23" t="n">
        <x:v>1</x:v>
      </x:c>
      <x:c r="D2" s="23" t="str">
        <x:v>2024</x:v>
      </x:c>
      <x:c r="E2" s="35" t="str">
        <x:v>https://esp.gov.taipei/openData/orgInfo/854</x:v>
      </x:c>
      <x:c r="F2" s="35"/>
      <x:c r="G2" s="35"/>
      <x:c r="H2" s="35" t="str">
        <x:v>todo_not_verified</x:v>
      </x:c>
      <x:c r="I2" s="35" t="str">
        <x:v>查證由協會自主管理且可公開再利用的官方網站與 Facebook；不得以同名頁面直接推定官方身分。</x:v>
      </x:c>
    </x:row>
    <x:row r="3" ht="30" customHeight="1">
      <x:c r="A3" s="25" t="str">
        <x:v>COM-0002</x:v>
      </x:c>
      <x:c r="B3" s="36" t="str">
        <x:v>臺北市萬華區富福社區發展協會</x:v>
      </x:c>
      <x:c r="C3" s="25" t="n">
        <x:v>0</x:v>
      </x:c>
      <x:c r="D3" s="25"/>
      <x:c r="E3" s="36"/>
      <x:c r="F3" s="36"/>
      <x:c r="G3" s="36"/>
      <x:c r="H3" s="36" t="str">
        <x:v>todo_not_verified</x:v>
      </x:c>
      <x:c r="I3" s="36" t="str">
        <x:v>查證由協會自主管理且可公開再利用的官方網站與 Facebook；不得以同名頁面直接推定官方身分。</x:v>
      </x:c>
    </x:row>
    <x:row r="4" ht="30" customHeight="1">
      <x:c r="A4" s="25" t="str">
        <x:v>COM-0003</x:v>
      </x:c>
      <x:c r="B4" s="36" t="str">
        <x:v>臺北市萬華區雙園社區發展協會</x:v>
      </x:c>
      <x:c r="C4" s="25" t="n">
        <x:v>0</x:v>
      </x:c>
      <x:c r="D4" s="25"/>
      <x:c r="E4" s="36"/>
      <x:c r="F4" s="36"/>
      <x:c r="G4" s="36"/>
      <x:c r="H4" s="36" t="str">
        <x:v>todo_not_verified</x:v>
      </x:c>
      <x:c r="I4" s="36" t="str">
        <x:v>查證由協會自主管理且可公開再利用的官方網站與 Facebook；不得以同名頁面直接推定官方身分。</x:v>
      </x:c>
    </x:row>
    <x:row r="5" ht="30" customHeight="1">
      <x:c r="A5" s="25" t="str">
        <x:v>COM-0004</x:v>
      </x:c>
      <x:c r="B5" s="36" t="str">
        <x:v>臺北市萬華區堀江町社區發展協會</x:v>
      </x:c>
      <x:c r="C5" s="25" t="n">
        <x:v>2</x:v>
      </x:c>
      <x:c r="D5" s="25" t="str">
        <x:v>2024;2025</x:v>
      </x:c>
      <x:c r="E5" s="36"/>
      <x:c r="F5" s="36"/>
      <x:c r="G5" s="36"/>
      <x:c r="H5" s="36" t="str">
        <x:v>todo_not_verified</x:v>
      </x:c>
      <x:c r="I5" s="36" t="str">
        <x:v>查證由協會自主管理且可公開再利用的官方網站與 Facebook；不得以同名頁面直接推定官方身分。</x:v>
      </x:c>
    </x:row>
    <x:row r="6" ht="30" customHeight="1">
      <x:c r="A6" s="25" t="str">
        <x:v>COM-0005</x:v>
      </x:c>
      <x:c r="B6" s="36" t="str">
        <x:v>臺北市萬華區中正新城社區發展協會</x:v>
      </x:c>
      <x:c r="C6" s="25" t="n">
        <x:v>7</x:v>
      </x:c>
      <x:c r="D6" s="25" t="str">
        <x:v>2023;2024;2025;2026</x:v>
      </x:c>
      <x:c r="E6" s="36"/>
      <x:c r="F6" s="36"/>
      <x:c r="G6" s="36"/>
      <x:c r="H6" s="36" t="str">
        <x:v>todo_not_verified</x:v>
      </x:c>
      <x:c r="I6" s="36" t="str">
        <x:v>查證由協會自主管理且可公開再利用的官方網站與 Facebook；不得以同名頁面直接推定官方身分。</x:v>
      </x:c>
    </x:row>
    <x:row r="7" ht="30" customHeight="1">
      <x:c r="A7" s="25" t="str">
        <x:v>COM-0006</x:v>
      </x:c>
      <x:c r="B7" s="36" t="str">
        <x:v>臺北市萬華區忠貞社區發展協會</x:v>
      </x:c>
      <x:c r="C7" s="25" t="n">
        <x:v>2</x:v>
      </x:c>
      <x:c r="D7" s="25" t="str">
        <x:v>2024;2025</x:v>
      </x:c>
      <x:c r="E7" s="36"/>
      <x:c r="F7" s="36"/>
      <x:c r="G7" s="36"/>
      <x:c r="H7" s="36" t="str">
        <x:v>todo_not_verified</x:v>
      </x:c>
      <x:c r="I7" s="36" t="str">
        <x:v>查證由協會自主管理且可公開再利用的官方網站與 Facebook；不得以同名頁面直接推定官方身分。</x:v>
      </x:c>
    </x:row>
    <x:row r="8" ht="30" customHeight="1">
      <x:c r="A8" s="25" t="str">
        <x:v>COM-0007</x:v>
      </x:c>
      <x:c r="B8" s="36" t="str">
        <x:v>臺北市萬華區新忠社區發展協會</x:v>
      </x:c>
      <x:c r="C8" s="25" t="n">
        <x:v>9</x:v>
      </x:c>
      <x:c r="D8" s="25" t="str">
        <x:v>2023;2024;2025;2026</x:v>
      </x:c>
      <x:c r="E8" s="36"/>
      <x:c r="F8" s="36"/>
      <x:c r="G8" s="36"/>
      <x:c r="H8" s="36" t="str">
        <x:v>todo_not_verified</x:v>
      </x:c>
      <x:c r="I8" s="36" t="str">
        <x:v>查證由協會自主管理且可公開再利用的官方網站與 Facebook；不得以同名頁面直接推定官方身分。</x:v>
      </x:c>
    </x:row>
    <x:row r="9" ht="30" customHeight="1">
      <x:c r="A9" s="25" t="str">
        <x:v>COM-0008</x:v>
      </x:c>
      <x:c r="B9" s="36" t="str">
        <x:v>臺北市萬華區忠恕社區發展協會</x:v>
      </x:c>
      <x:c r="C9" s="25" t="n">
        <x:v>0</x:v>
      </x:c>
      <x:c r="D9" s="25"/>
      <x:c r="E9" s="36"/>
      <x:c r="F9" s="36"/>
      <x:c r="G9" s="36"/>
      <x:c r="H9" s="36" t="str">
        <x:v>todo_not_verified</x:v>
      </x:c>
      <x:c r="I9" s="36" t="str">
        <x:v>查證由協會自主管理且可公開再利用的官方網站與 Facebook；不得以同名頁面直接推定官方身分。</x:v>
      </x:c>
    </x:row>
    <x:row r="10" ht="30" customHeight="1">
      <x:c r="A10" s="25" t="str">
        <x:v>COM-0009</x:v>
      </x:c>
      <x:c r="B10" s="36" t="str">
        <x:v>臺北市萬華區全德家園社區發展協會</x:v>
      </x:c>
      <x:c r="C10" s="25" t="n">
        <x:v>0</x:v>
      </x:c>
      <x:c r="D10" s="25"/>
      <x:c r="E10" s="36"/>
      <x:c r="F10" s="36"/>
      <x:c r="G10" s="36"/>
      <x:c r="H10" s="36" t="str">
        <x:v>todo_not_verified</x:v>
      </x:c>
      <x:c r="I10" s="36" t="str">
        <x:v>查證由協會自主管理且可公開再利用的官方網站與 Facebook；不得以同名頁面直接推定官方身分。</x:v>
      </x:c>
    </x:row>
    <x:row r="11" ht="30" customHeight="1">
      <x:c r="A11" s="25" t="str">
        <x:v>COM-0010</x:v>
      </x:c>
      <x:c r="B11" s="36" t="str">
        <x:v>臺北市萬華區保德社區發展協會</x:v>
      </x:c>
      <x:c r="C11" s="25" t="n">
        <x:v>6</x:v>
      </x:c>
      <x:c r="D11" s="25" t="str">
        <x:v>2023;2024;2025;2026</x:v>
      </x:c>
      <x:c r="E11" s="36" t="str">
        <x:v>https://esp.gov.taipei/openData/orgInfo/1381</x:v>
      </x:c>
      <x:c r="F11" s="36"/>
      <x:c r="G11" s="36"/>
      <x:c r="H11" s="36" t="str">
        <x:v>todo_not_verified</x:v>
      </x:c>
      <x:c r="I11" s="36" t="str">
        <x:v>查證由協會自主管理且可公開再利用的官方網站與 Facebook；不得以同名頁面直接推定官方身分。</x:v>
      </x:c>
    </x:row>
    <x:row r="12" ht="30" customHeight="1">
      <x:c r="A12" s="25" t="str">
        <x:v>COM-0011</x:v>
      </x:c>
      <x:c r="B12" s="36" t="str">
        <x:v>臺北市萬華區壽德社區發展協會</x:v>
      </x:c>
      <x:c r="C12" s="25" t="n">
        <x:v>4</x:v>
      </x:c>
      <x:c r="D12" s="25" t="str">
        <x:v>2024;2026</x:v>
      </x:c>
      <x:c r="E12" s="36"/>
      <x:c r="F12" s="36"/>
      <x:c r="G12" s="36"/>
      <x:c r="H12" s="36" t="str">
        <x:v>todo_not_verified</x:v>
      </x:c>
      <x:c r="I12" s="36" t="str">
        <x:v>查證由協會自主管理且可公開再利用的官方網站與 Facebook；不得以同名頁面直接推定官方身分。</x:v>
      </x:c>
    </x:row>
    <x:row r="13" ht="30" customHeight="1">
      <x:c r="A13" s="25" t="str">
        <x:v>COM-0012</x:v>
      </x:c>
      <x:c r="B13" s="36" t="str">
        <x:v>臺北市萬華區萬大社區發展協會</x:v>
      </x:c>
      <x:c r="C13" s="25" t="n">
        <x:v>1</x:v>
      </x:c>
      <x:c r="D13" s="25" t="str">
        <x:v>2023</x:v>
      </x:c>
      <x:c r="E13" s="36" t="str">
        <x:v>https://esp.gov.taipei/openData/orgInfo/1378</x:v>
      </x:c>
      <x:c r="F13" s="36"/>
      <x:c r="G13" s="36"/>
      <x:c r="H13" s="36" t="str">
        <x:v>todo_not_verified</x:v>
      </x:c>
      <x:c r="I13" s="36" t="str">
        <x:v>查證由協會自主管理且可公開再利用的官方網站與 Facebook；不得以同名頁面直接推定官方身分。</x:v>
      </x:c>
    </x:row>
    <x:row r="14" ht="30" customHeight="1">
      <x:c r="A14" s="25" t="str">
        <x:v>COM-0013</x:v>
      </x:c>
      <x:c r="B14" s="36" t="str">
        <x:v>臺北市萬華區好厝邊社區發展協會</x:v>
      </x:c>
      <x:c r="C14" s="25" t="n">
        <x:v>2</x:v>
      </x:c>
      <x:c r="D14" s="25" t="str">
        <x:v>2024</x:v>
      </x:c>
      <x:c r="E14" s="36"/>
      <x:c r="F14" s="36"/>
      <x:c r="G14" s="36"/>
      <x:c r="H14" s="36" t="str">
        <x:v>todo_not_verified</x:v>
      </x:c>
      <x:c r="I14" s="36" t="str">
        <x:v>查證由協會自主管理且可公開再利用的官方網站與 Facebook；不得以同名頁面直接推定官方身分。</x:v>
      </x:c>
    </x:row>
    <x:row r="15" ht="30" customHeight="1">
      <x:c r="A15" s="25" t="str">
        <x:v>COM-0014</x:v>
      </x:c>
      <x:c r="B15" s="36" t="str">
        <x:v>臺北市萬華區糖廍社區發展協會</x:v>
      </x:c>
      <x:c r="C15" s="25" t="n">
        <x:v>0</x:v>
      </x:c>
      <x:c r="D15" s="25"/>
      <x:c r="E15" s="36"/>
      <x:c r="F15" s="36"/>
      <x:c r="G15" s="36"/>
      <x:c r="H15" s="36" t="str">
        <x:v>todo_not_verified</x:v>
      </x:c>
      <x:c r="I15" s="36" t="str">
        <x:v>查證由協會自主管理且可公開再利用的官方網站與 Facebook；不得以同名頁面直接推定官方身分。</x:v>
      </x:c>
    </x:row>
    <x:row r="16" ht="30" customHeight="1">
      <x:c r="A16" s="25" t="str">
        <x:v>COM-0015</x:v>
      </x:c>
      <x:c r="B16" s="36" t="str">
        <x:v>臺北市萬華區福音社區發展協會</x:v>
      </x:c>
      <x:c r="C16" s="25" t="n">
        <x:v>1</x:v>
      </x:c>
      <x:c r="D16" s="25" t="str">
        <x:v>2024</x:v>
      </x:c>
      <x:c r="E16" s="36"/>
      <x:c r="F16" s="36"/>
      <x:c r="G16" s="36"/>
      <x:c r="H16" s="36" t="str">
        <x:v>todo_not_verified</x:v>
      </x:c>
      <x:c r="I16" s="36" t="str">
        <x:v>查證由協會自主管理且可公開再利用的官方網站與 Facebook；不得以同名頁面直接推定官方身分。</x:v>
      </x:c>
    </x:row>
    <x:row r="17" ht="30" customHeight="1">
      <x:c r="A17" s="25" t="str">
        <x:v>COM-0016</x:v>
      </x:c>
      <x:c r="B17" s="36" t="str">
        <x:v>臺北市萬華區艋舺社區發展協會</x:v>
      </x:c>
      <x:c r="C17" s="25" t="n">
        <x:v>0</x:v>
      </x:c>
      <x:c r="D17" s="25"/>
      <x:c r="E17" s="36"/>
      <x:c r="F17" s="36"/>
      <x:c r="G17" s="36"/>
      <x:c r="H17" s="36" t="str">
        <x:v>todo_not_verified</x:v>
      </x:c>
      <x:c r="I17" s="36" t="str">
        <x:v>查證由協會自主管理且可公開再利用的官方網站與 Facebook；不得以同名頁面直接推定官方身分。</x:v>
      </x:c>
    </x:row>
    <x:row r="18" ht="30" customHeight="1">
      <x:c r="A18" s="25" t="str">
        <x:v>COM-0017</x:v>
      </x:c>
      <x:c r="B18" s="36" t="str">
        <x:v>臺北市萬華區綠堤社區發展協會</x:v>
      </x:c>
      <x:c r="C18" s="25" t="n">
        <x:v>2</x:v>
      </x:c>
      <x:c r="D18" s="25" t="str">
        <x:v>2024;2025</x:v>
      </x:c>
      <x:c r="E18" s="36"/>
      <x:c r="F18" s="36"/>
      <x:c r="G18" s="36"/>
      <x:c r="H18" s="36" t="str">
        <x:v>todo_not_verified</x:v>
      </x:c>
      <x:c r="I18" s="36" t="str">
        <x:v>查證由協會自主管理且可公開再利用的官方網站與 Facebook；不得以同名頁面直接推定官方身分。</x:v>
      </x:c>
    </x:row>
    <x:row r="19" ht="30" customHeight="1">
      <x:c r="A19" s="25" t="str">
        <x:v>COM-0018</x:v>
      </x:c>
      <x:c r="B19" s="36" t="str">
        <x:v>臺北市萬華區日祥社區發展協會</x:v>
      </x:c>
      <x:c r="C19" s="25" t="n">
        <x:v>1</x:v>
      </x:c>
      <x:c r="D19" s="25" t="str">
        <x:v>2024</x:v>
      </x:c>
      <x:c r="E19" s="36"/>
      <x:c r="F19" s="36"/>
      <x:c r="G19" s="36"/>
      <x:c r="H19" s="36" t="str">
        <x:v>todo_not_verified</x:v>
      </x:c>
      <x:c r="I19" s="36" t="str">
        <x:v>查證由協會自主管理且可公開再利用的官方網站與 Facebook；不得以同名頁面直接推定官方身分。</x:v>
      </x:c>
    </x:row>
    <x:row r="20" ht="30" customHeight="1">
      <x:c r="A20" s="25" t="str">
        <x:v>COM-0019</x:v>
      </x:c>
      <x:c r="B20" s="36" t="str">
        <x:v>臺北市萬華區南一社區發展協會</x:v>
      </x:c>
      <x:c r="C20" s="25" t="n">
        <x:v>0</x:v>
      </x:c>
      <x:c r="D20" s="25"/>
      <x:c r="E20" s="36"/>
      <x:c r="F20" s="36"/>
      <x:c r="G20" s="36"/>
      <x:c r="H20" s="36" t="str">
        <x:v>todo_not_verified</x:v>
      </x:c>
      <x:c r="I20" s="36" t="str">
        <x:v>查證由協會自主管理且可公開再利用的官方網站與 Facebook；不得以同名頁面直接推定官方身分。</x:v>
      </x:c>
    </x:row>
    <x:row r="21" ht="30" customHeight="1">
      <x:c r="A21" s="25" t="str">
        <x:v>COM-0020</x:v>
      </x:c>
      <x:c r="B21" s="36" t="str">
        <x:v>臺北市萬華區展新社區發展協會</x:v>
      </x:c>
      <x:c r="C21" s="25" t="n">
        <x:v>0</x:v>
      </x:c>
      <x:c r="D21" s="25"/>
      <x:c r="E21" s="36"/>
      <x:c r="F21" s="36"/>
      <x:c r="G21" s="36"/>
      <x:c r="H21" s="36" t="str">
        <x:v>todo_not_verified</x:v>
      </x:c>
      <x:c r="I21" s="36" t="str">
        <x:v>查證由協會自主管理且可公開再利用的官方網站與 Facebook；不得以同名頁面直接推定官方身分。</x:v>
      </x:c>
    </x:row>
    <x:row r="22" ht="30" customHeight="1">
      <x:c r="A22" s="25" t="str">
        <x:v>COM-0021</x:v>
      </x:c>
      <x:c r="B22" s="36" t="str">
        <x:v>臺北市萬華區新國光社區發展協會</x:v>
      </x:c>
      <x:c r="C22" s="25" t="n">
        <x:v>0</x:v>
      </x:c>
      <x:c r="D22" s="25"/>
      <x:c r="E22" s="36"/>
      <x:c r="F22" s="36"/>
      <x:c r="G22" s="36"/>
      <x:c r="H22" s="36" t="str">
        <x:v>todo_not_verified</x:v>
      </x:c>
      <x:c r="I22" s="36" t="str">
        <x:v>查證由協會自主管理且可公開再利用的官方網站與 Facebook；不得以同名頁面直接推定官方身分。</x:v>
      </x:c>
    </x:row>
    <x:row r="23" ht="30" customHeight="1">
      <x:c r="A23" s="25" t="str">
        <x:v>COM-0022</x:v>
      </x:c>
      <x:c r="B23" s="36" t="str">
        <x:v>臺北市萬華區新和七普拉斯社區發展協會</x:v>
      </x:c>
      <x:c r="C23" s="25" t="n">
        <x:v>0</x:v>
      </x:c>
      <x:c r="D23" s="25"/>
      <x:c r="E23" s="36"/>
      <x:c r="F23" s="36"/>
      <x:c r="G23" s="36"/>
      <x:c r="H23" s="36" t="str">
        <x:v>todo_not_verified</x:v>
      </x:c>
      <x:c r="I23" s="36" t="str">
        <x:v>查證由協會自主管理且可公開再利用的官方網站與 Facebook；不得以同名頁面直接推定官方身分。</x:v>
      </x:c>
    </x:row>
    <x:row r="24" ht="30" customHeight="1">
      <x:c r="A24" s="25" t="str">
        <x:v>COM-0023</x:v>
      </x:c>
      <x:c r="B24" s="36" t="str">
        <x:v>臺北市萬華區青年社區發展協會</x:v>
      </x:c>
      <x:c r="C24" s="25" t="n">
        <x:v>5</x:v>
      </x:c>
      <x:c r="D24" s="25" t="str">
        <x:v>2024;2025;2026</x:v>
      </x:c>
      <x:c r="E24" s="36"/>
      <x:c r="F24" s="36"/>
      <x:c r="G24" s="36"/>
      <x:c r="H24" s="36" t="str">
        <x:v>todo_not_verified</x:v>
      </x:c>
      <x:c r="I24" s="36" t="str">
        <x:v>查證由協會自主管理且可公開再利用的官方網站與 Facebook；不得以同名頁面直接推定官方身分。</x:v>
      </x:c>
    </x:row>
    <x:row r="25" ht="30" customHeight="1">
      <x:c r="A25" s="25" t="str">
        <x:v>COM-0024</x:v>
      </x:c>
      <x:c r="B25" s="36" t="str">
        <x:v>臺北市萬華區馬場町社區發展協會</x:v>
      </x:c>
      <x:c r="C25" s="25" t="n">
        <x:v>2</x:v>
      </x:c>
      <x:c r="D25" s="25" t="str">
        <x:v>2024</x:v>
      </x:c>
      <x:c r="E25" s="36" t="str">
        <x:v>https://esp.gov.taipei/openData/orgInfo/852</x:v>
      </x:c>
      <x:c r="F25" s="36"/>
      <x:c r="G25" s="36"/>
      <x:c r="H25" s="36" t="str">
        <x:v>todo_not_verified</x:v>
      </x:c>
      <x:c r="I25" s="36" t="str">
        <x:v>查證由協會自主管理且可公開再利用的官方網站與 Facebook；不得以同名頁面直接推定官方身分。</x:v>
      </x:c>
    </x:row>
    <x:row r="26" ht="30" customHeight="1">
      <x:c r="A26" s="25" t="str">
        <x:v>COM-0025</x:v>
      </x:c>
      <x:c r="B26" s="36" t="str">
        <x:v>臺北市萬華區國興水漾社區發展協會</x:v>
      </x:c>
      <x:c r="C26" s="25" t="n">
        <x:v>0</x:v>
      </x:c>
      <x:c r="D26" s="25"/>
      <x:c r="E26" s="36"/>
      <x:c r="F26" s="36"/>
      <x:c r="G26" s="36"/>
      <x:c r="H26" s="36" t="str">
        <x:v>todo_not_verified</x:v>
      </x:c>
      <x:c r="I26" s="36" t="str">
        <x:v>查證由協會自主管理且可公開再利用的官方網站與 Facebook；不得以同名頁面直接推定官方身分。</x:v>
      </x:c>
    </x:row>
    <x:row r="27" ht="30" customHeight="1">
      <x:c r="A27" s="25" t="str">
        <x:v>COM-0026</x:v>
      </x:c>
      <x:c r="B27" s="36" t="str">
        <x:v>臺北市萬華區忠德友善社區發展協會</x:v>
      </x:c>
      <x:c r="C27" s="25" t="n">
        <x:v>1</x:v>
      </x:c>
      <x:c r="D27" s="25" t="str">
        <x:v>2024</x:v>
      </x:c>
      <x:c r="E27" s="36"/>
      <x:c r="F27" s="36"/>
      <x:c r="G27" s="36"/>
      <x:c r="H27" s="36" t="str">
        <x:v>todo_not_verified</x:v>
      </x:c>
      <x:c r="I27" s="36" t="str">
        <x:v>查證由協會自主管理且可公開再利用的官方網站與 Facebook；不得以同名頁面直接推定官方身分。</x:v>
      </x:c>
    </x:row>
    <x:row r="28" ht="30" customHeight="1">
      <x:c r="A28" s="25" t="str">
        <x:v>COM-0027</x:v>
      </x:c>
      <x:c r="B28" s="36" t="str">
        <x:v>臺北市萬華區忠德社區發展協會</x:v>
      </x:c>
      <x:c r="C28" s="25" t="n">
        <x:v>0</x:v>
      </x:c>
      <x:c r="D28" s="25"/>
      <x:c r="E28" s="36"/>
      <x:c r="F28" s="36"/>
      <x:c r="G28" s="36"/>
      <x:c r="H28" s="36" t="str">
        <x:v>todo_not_verified</x:v>
      </x:c>
      <x:c r="I28" s="36" t="str">
        <x:v>查證由協會自主管理且可公開再利用的官方網站與 Facebook；不得以同名頁面直接推定官方身分。</x:v>
      </x:c>
    </x:row>
    <x:row r="29" ht="30" customHeight="1">
      <x:c r="A29" s="25" t="str">
        <x:v>COM-0028</x:v>
      </x:c>
      <x:c r="B29" s="36" t="str">
        <x:v>臺北市萬華區我愛加蚋錦德社區發展協會</x:v>
      </x:c>
      <x:c r="C29" s="25" t="n">
        <x:v>0</x:v>
      </x:c>
      <x:c r="D29" s="25"/>
      <x:c r="E29" s="36"/>
      <x:c r="F29" s="36"/>
      <x:c r="G29" s="36"/>
      <x:c r="H29" s="36" t="str">
        <x:v>todo_not_verified</x:v>
      </x:c>
      <x:c r="I29" s="36" t="str">
        <x:v>查證由協會自主管理且可公開再利用的官方網站與 Facebook；不得以同名頁面直接推定官方身分。</x:v>
      </x:c>
    </x:row>
    <x:row r="30" ht="30" customHeight="1">
      <x:c r="A30" s="25" t="str">
        <x:v>COM-0029</x:v>
      </x:c>
      <x:c r="B30" s="36" t="str">
        <x:v>臺北市萬華區和平社區發展協會</x:v>
      </x:c>
      <x:c r="C30" s="25" t="n">
        <x:v>1</x:v>
      </x:c>
      <x:c r="D30" s="25" t="str">
        <x:v>2024</x:v>
      </x:c>
      <x:c r="E30" s="36"/>
      <x:c r="F30" s="36"/>
      <x:c r="G30" s="36"/>
      <x:c r="H30" s="36" t="str">
        <x:v>todo_not_verified</x:v>
      </x:c>
      <x:c r="I30" s="36" t="str">
        <x:v>查證由協會自主管理且可公開再利用的官方網站與 Facebook；不得以同名頁面直接推定官方身分。</x:v>
      </x:c>
    </x:row>
    <x:row r="31" ht="30" customHeight="1">
      <x:c r="A31" s="25" t="str">
        <x:v>COM-0030</x:v>
      </x:c>
      <x:c r="B31" s="36" t="str">
        <x:v>臺北市萬華區菜園社區發展協會</x:v>
      </x:c>
      <x:c r="C31" s="25" t="n">
        <x:v>1</x:v>
      </x:c>
      <x:c r="D31" s="25" t="str">
        <x:v>2024</x:v>
      </x:c>
      <x:c r="E31" s="36" t="str">
        <x:v>https://esp.gov.taipei/openData/orgInfo/4570</x:v>
      </x:c>
      <x:c r="F31" s="36"/>
      <x:c r="G31" s="36"/>
      <x:c r="H31" s="36" t="str">
        <x:v>todo_not_verified</x:v>
      </x:c>
      <x:c r="I31" s="36" t="str">
        <x:v>查證由協會自主管理且可公開再利用的官方網站與 Facebook；不得以同名頁面直接推定官方身分。</x:v>
      </x:c>
    </x:row>
    <x:row r="32" ht="30" customHeight="1">
      <x:c r="A32" s="25" t="str">
        <x:v>COM-0031</x:v>
      </x:c>
      <x:c r="B32" s="36" t="str">
        <x:v>臺北市萬華區新起社區發展協會</x:v>
      </x:c>
      <x:c r="C32" s="25" t="n">
        <x:v>0</x:v>
      </x:c>
      <x:c r="D32" s="25"/>
      <x:c r="E32" s="36"/>
      <x:c r="F32" s="36"/>
      <x:c r="G32" s="36"/>
      <x:c r="H32" s="36" t="str">
        <x:v>todo_not_verified</x:v>
      </x:c>
      <x:c r="I32" s="36" t="str">
        <x:v>查證由協會自主管理且可公開再利用的官方網站與 Facebook；不得以同名頁面直接推定官方身分。</x:v>
      </x:c>
    </x:row>
    <x:row r="33" ht="30" customHeight="1">
      <x:c r="A33" s="25" t="str">
        <x:v>COM-0032</x:v>
      </x:c>
      <x:c r="B33" s="36" t="str">
        <x:v>臺北市萬華區愛在孝德社區發展協會</x:v>
      </x:c>
      <x:c r="C33" s="25" t="n">
        <x:v>2</x:v>
      </x:c>
      <x:c r="D33" s="25" t="str">
        <x:v>2024</x:v>
      </x:c>
      <x:c r="E33" s="36"/>
      <x:c r="F33" s="36"/>
      <x:c r="G33" s="36"/>
      <x:c r="H33" s="36" t="str">
        <x:v>todo_not_verified</x:v>
      </x:c>
      <x:c r="I33" s="36" t="str">
        <x:v>查證由協會自主管理且可公開再利用的官方網站與 Facebook；不得以同名頁面直接推定官方身分。</x:v>
      </x:c>
    </x:row>
    <x:row r="34" ht="30" customHeight="1">
      <x:c r="A34" s="27" t="str">
        <x:v>COM-0033</x:v>
      </x:c>
      <x:c r="B34" s="37" t="str">
        <x:v>臺北市萬華區西門社區發展協會</x:v>
      </x:c>
      <x:c r="C34" s="27" t="n">
        <x:v>0</x:v>
      </x:c>
      <x:c r="D34" s="27"/>
      <x:c r="E34" s="37"/>
      <x:c r="F34" s="37"/>
      <x:c r="G34" s="37"/>
      <x:c r="H34" s="37" t="str">
        <x:v>todo_not_verified</x:v>
      </x:c>
      <x:c r="I34" s="37" t="str">
        <x:v>查證由協會自主管理且可公開再利用的官方網站與 Facebook；不得以同名頁面直接推定官方身分。</x:v>
      </x:c>
    </x:row>
  </x:sheetData>
  <x:conditionalFormatting sqref="C2:C34">
    <x:cfRule type="dataBar" priority="1">
      <x:dataBar>
        <x:cfvo type="min"/>
        <x:cfvo type="max"/>
        <x:color rgb="FFC6922C"/>
      </x:dataBar>
      <x:extLst>
        <x:ext xmlns:x14="http://schemas.microsoft.com/office/spreadsheetml/2009/9/main" uri="{B025F937-C7B1-47D3-B67F-A62EFF666E3E}">
          <x14:id>{3C93F375-1CA3-B761-8E9D-0BE77E51A318}</x14:id>
        </x:ext>
      </x:extLst>
    </x:cfRule>
  </x:conditionalFormatting>
  <x:pageMargins left="0.7" right="0.7" top="0.75" bottom="0.75" header="0.3" footer="0.3"/>
  <x:tableParts count="1">
    <x:tablePart xmlns:r="http://schemas.openxmlformats.org/officeDocument/2006/relationships" r:id="R8dceaf3fa98b4d7f"/>
  </x:tableParts>
  <x:extLst>
    <x:ext xmlns:x14="http://schemas.microsoft.com/office/spreadsheetml/2009/9/main" xmlns:xm="http://schemas.microsoft.com/office/excel/2006/main" uri="{78C0D931-6437-407d-A8EE-F0AAD7539E65}">
      <x14:conditionalFormattings>
        <x14:conditionalFormatting>
          <x14:cfRule type="dataBar" priority="1" id="{3C93F375-1CA3-B761-8E9D-0BE77E51A318}">
            <x14:dataBar gradient="1">
              <x14:cfvo type="min"/>
              <x14:cfvo type="max"/>
              <x14:fillColor rgb="FFC6922C"/>
            </x14:dataBar>
          </x14:cfRule>
          <xm:sqref>C2:C34</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0" hidden="0" customWidth="1"/>
    <x:col min="3" max="3" width="24" hidden="0" customWidth="1"/>
    <x:col min="4" max="4" width="58" hidden="0" customWidth="1"/>
    <x:col min="5" max="5" width="90" hidden="0" customWidth="1"/>
  </x:cols>
  <x:sheetData>
    <x:row r="1" ht="30" customHeight="1">
      <x:c r="A1" s="43" t="str">
        <x:v>source_key</x:v>
      </x:c>
      <x:c r="B1" s="43" t="str">
        <x:v>year</x:v>
      </x:c>
      <x:c r="C1" s="43" t="str">
        <x:v>publisher</x:v>
      </x:c>
      <x:c r="D1" s="43" t="str">
        <x:v>title</x:v>
      </x:c>
      <x:c r="E1" s="43" t="str">
        <x:v>url</x:v>
      </x:c>
    </x:row>
    <x:row r="2" ht="54" customHeight="1">
      <x:c r="A2" s="23" t="str">
        <x:v>S112-P56-1</x:v>
      </x:c>
      <x:c r="B2" s="23" t="n">
        <x:v>2023</x:v>
      </x:c>
      <x:c r="C2" s="23" t="str">
        <x:v>臺北市政府社會局</x:v>
      </x:c>
      <x:c r="D2" s="35" t="str">
        <x:v>112年社區發展及互助共好補助計畫專案五、專案六第一梯次核定表</x:v>
      </x:c>
      <x:c r="E2" s="35" t="str">
        <x:v>https://www-ws.gov.taipei/Download.ashx?icon=..pdf&amp;n=MTEy5bm05bCI5qGI5LqU5bCI5qGI5YWt56ys5LiA5qKv5qyh5qC45a6a6KGoKOeZvOaWhykucGRm&amp;u=LzAwMS9VcGxvYWQvMzU4L3JlbGZpbGUvNTc4ODEvODk2OTYxMC8yZDc1ZGVlNC04MTZhLTQ5MjgtOTYwYi02NWY3ZjBkYmJlYTgucGRm</x:v>
      </x:c>
    </x:row>
    <x:row r="3" ht="54" customHeight="1">
      <x:c r="A3" s="25" t="str">
        <x:v>S112-P4-3B2</x:v>
      </x:c>
      <x:c r="B3" s="25" t="n">
        <x:v>2023</x:v>
      </x:c>
      <x:c r="C3" s="25" t="str">
        <x:v>臺北市政府社會局</x:v>
      </x:c>
      <x:c r="D3" s="36" t="str">
        <x:v>112年度推動社區發展及互助共好補助計畫第三階段第二梯次核定表</x:v>
      </x:c>
      <x:c r="E3" s="36" t="str">
        <x:v>https://www-ws.gov.taipei/Download.ashx?icon=..pdf&amp;n=MTEy5bm05bCI5qGI5qC45a6a6KGo56ysM%2BmajuautSjlsIjlm5spLnBkZg%3D%3D&amp;u=LzAwMS9VcGxvYWQvMzU4L3JlbGZpbGUvNTc4ODEvODk2OTYwNy9iYTA2NjUxMS03NWZhLTRkZTQtYjY0Ni02ZGNmOGMwMmE0NGQucGRm</x:v>
      </x:c>
    </x:row>
    <x:row r="4" ht="54" customHeight="1">
      <x:c r="A4" s="25" t="str">
        <x:v>S113-STAGE1</x:v>
      </x:c>
      <x:c r="B4" s="25" t="n">
        <x:v>2024</x:v>
      </x:c>
      <x:c r="C4" s="25" t="str">
        <x:v>臺北市政府社會局</x:v>
      </x:c>
      <x:c r="D4" s="36" t="str">
        <x:v>113年度推動社區發展及互助共好補助計畫第一階段核定表</x:v>
      </x:c>
      <x:c r="E4" s="36" t="str">
        <x:v>https://www-ws.gov.taipei/Download.ashx?icon=..pdf&amp;n=MTEz5bm05bqm5o6o5YuV56S%2B5Y2A55m85bGV5Y%2BK5LqS5Yqp5YWx5aW96KOc5Yqp6KiI55Wr56ys5LiA6ZqO5q615qC45a6a6KGoKDExMzAxMjTmoLjlrpopLnBkZg%3D%3D&amp;u=LzAwMS9VcGxvYWQvMzU4L3JlbGZpbGUvNTc4ODEvOTExMzMyNC81ODRjMjhlMi0zMzBhLTRhYmItYmJkZC1kODVkNWFhYmFmNmYucGRm</x:v>
      </x:c>
    </x:row>
    <x:row r="5" ht="54" customHeight="1">
      <x:c r="A5" s="25" t="str">
        <x:v>S113-STAGE2</x:v>
      </x:c>
      <x:c r="B5" s="25" t="n">
        <x:v>2024</x:v>
      </x:c>
      <x:c r="C5" s="25" t="str">
        <x:v>臺北市政府社會局</x:v>
      </x:c>
      <x:c r="D5" s="36" t="str">
        <x:v>113年度推動社區發展及互助共好補助計畫第二階段核定表（萬華區、南港區、中正區）</x:v>
      </x:c>
      <x:c r="E5" s="36" t="str">
        <x:v>https://www-ws.gov.taipei/Download.ashx?icon=..pdf&amp;n=MTEz5bm05bqm5o6o5YuV56S%2B5Y2A55m85bGV5Y%2BK5LqS5Yqp5YWx5aW96KOc5Yqp6KiI55Wr56ys5LqM6ZqO5q615qC45a6a6KGoLeS4reato%2BiQrOiPr%2BWNl%2Ba4rygxMTMwMzIy5qC45a6aKS5wZGY%3D&amp;u=LzAwMS9VcGxvYWQvMzU4L3JlbGZpbGUvNTc4ODEvOTE0MjI4Ny9jZGQyNDcyNi0zYzExLTQ4ZDYtOGMzNy0zYjhiMzI0N2FlNTcucGRm</x:v>
      </x:c>
    </x:row>
    <x:row r="6" ht="54" customHeight="1">
      <x:c r="A6" s="25" t="str">
        <x:v>S113-P56-1</x:v>
      </x:c>
      <x:c r="B6" s="25" t="n">
        <x:v>2024</x:v>
      </x:c>
      <x:c r="C6" s="25" t="str">
        <x:v>臺北市政府社會局</x:v>
      </x:c>
      <x:c r="D6" s="36" t="str">
        <x:v>113年度推動社區發展及互助共好補助計畫專案五專案六第一階段核定表</x:v>
      </x:c>
      <x:c r="E6" s="36" t="str">
        <x:v>https://www-ws.gov.taipei/Download.ashx?icon=..pdf&amp;n=MTEz5bm05bqm5o6o5YuV56S%2B5Y2A55m85bGV5Y%2BK5LqS5Yqp5YWx5aW96KOc5Yqp6KiI55Wr5bCI5qGI5LqU5bCI5qGI5YWt56ys5LiA6ZqO5q615qC45a6a6KGoLnBkZg%3D%3D&amp;u=LzAwMS9VcGxvYWQvMzU4L3JlbGZpbGUvNTc4ODEvOTE2NTc5MC9jZGE5ODc0Ni1jMjA1LTQ1MmYtOTBhOC0zMDA5NTBmMDEzYmEucGRm</x:v>
      </x:c>
    </x:row>
    <x:row r="7" ht="54" customHeight="1">
      <x:c r="A7" s="25" t="str">
        <x:v>S113-P56-2</x:v>
      </x:c>
      <x:c r="B7" s="25" t="n">
        <x:v>2024</x:v>
      </x:c>
      <x:c r="C7" s="25" t="str">
        <x:v>臺北市政府社會局</x:v>
      </x:c>
      <x:c r="D7" s="36" t="str">
        <x:v>113年度推動社區發展及互助共好補助計畫專案五專案六第二階段核定表</x:v>
      </x:c>
      <x:c r="E7" s="36" t="str">
        <x:v>https://www-ws.gov.taipei/Download.ashx?icon=..pdf&amp;n=MTEz5bm05bqm5o6o5YuV56S%2B5Y2A55m85bGV5Y%2BK5LqS5Yqp5YWx5aW96KOc5Yqp6KiI55Wr5bCI5qGI5LqU5bCI5qGI5YWt56ys5LqM6ZqO5q615qC45a6a6KGoLnBkZg%3D%3D&amp;u=LzAwMS9VcGxvYWQvMzU4L3JlbGZpbGUvNTc4ODEvOTE2NTc5MC82YzQ0YTE3MC1lOTdlLTQ5MGUtYjYzNS02MzIxYTAxZjQwNDkucGRm</x:v>
      </x:c>
    </x:row>
    <x:row r="8" ht="54" customHeight="1">
      <x:c r="A8" s="25" t="str">
        <x:v>S114-STAGE1</x:v>
      </x:c>
      <x:c r="B8" s="25" t="n">
        <x:v>2025</x:v>
      </x:c>
      <x:c r="C8" s="25" t="str">
        <x:v>臺北市政府社會局</x:v>
      </x:c>
      <x:c r="D8" s="36" t="str">
        <x:v>114年度推動社區發展及互助共好補助計畫第一階段核定表</x:v>
      </x:c>
      <x:c r="E8" s="36" t="str">
        <x:v>https://www-ws.gov.taipei/Download.ashx?icon=..pdf&amp;n=MTE05bm05bqm56S%2B5Y2A55m85bGV5Y%2BK5LqS5Yqp5YWx5aW96KOc5Yqp6KiI55Wr56ys5LiA6ZqO5q615qC45a6a6KGoLnBkZg%3D%3D&amp;u=LzAwMS9VcGxvYWQvMzU4L3JlbGZpbGUvNTc4ODEvOTM0NzQ3MS85NDI4MWFhZC0zMTZhLTQ2YWYtOTIyZi1iNDBmYjU4MjY2ZTEucGRm</x:v>
      </x:c>
    </x:row>
    <x:row r="9" ht="54" customHeight="1">
      <x:c r="A9" s="25" t="str">
        <x:v>S114-P56-1</x:v>
      </x:c>
      <x:c r="B9" s="25" t="n">
        <x:v>2025</x:v>
      </x:c>
      <x:c r="C9" s="25" t="str">
        <x:v>臺北市政府社會局</x:v>
      </x:c>
      <x:c r="D9" s="36" t="str">
        <x:v>114年社區發展及互助共好補助計畫專案五、專案六第一梯次核定表</x:v>
      </x:c>
      <x:c r="E9" s="36" t="str">
        <x:v>https://www-ws.gov.taipei/Download.ashx?icon=..pdf&amp;n=5bCI5qGI5LqU5bCI5qGI5YWt56ys5LiA5qKv5qyh5qC45a6a6KGoLnBkZg%3D%3D&amp;u=LzAwMS9VcGxvYWQvMzU4L3JlbGZpbGUvNTc4ODEvOTM5ODc1OS8yYWRmYzk1ZC01NWJhLTQzMjktOTkwZS03MDg2ZmM5N2UyMjUucGRm</x:v>
      </x:c>
    </x:row>
    <x:row r="10" ht="54" customHeight="1">
      <x:c r="A10" s="25" t="str">
        <x:v>S114-P4-3</x:v>
      </x:c>
      <x:c r="B10" s="25" t="n">
        <x:v>2025</x:v>
      </x:c>
      <x:c r="C10" s="25" t="str">
        <x:v>臺北市政府社會局</x:v>
      </x:c>
      <x:c r="D10" s="36" t="str">
        <x:v>114年度推動社區發展及互助共好補助計畫第三階段第三梯次核定表－專案四</x:v>
      </x:c>
      <x:c r="E10" s="36" t="str">
        <x:v>https://www-ws.gov.taipei/Download.ashx?icon=..pdf&amp;n=MTE05bm05bqm56S%2B5Y2A55m85bGV5Y%2BK5LqS5Yqp5YWx5aW96KOc5Yqp6KiI55Wr56ys5LiJ6ZqO5q6156ys5LiJ5qKv5qyh5qC45a6a6KGoLeWwiOahiOWbmygxMTQwNTE05qC45a6aKS5wZGY%3D&amp;u=LzAwMS9VcGxvYWQvMzU4L3JlbGZpbGUvNTc4ODEvOTM4NzQ4MS83MmE2NGI5OC1mZWI0LTQxOTItODhhMy1kZTEzYzg4YTgwNDkucGRm</x:v>
      </x:c>
    </x:row>
    <x:row r="11" ht="54" customHeight="1">
      <x:c r="A11" s="27" t="str">
        <x:v>S115-P56</x:v>
      </x:c>
      <x:c r="B11" s="27" t="n">
        <x:v>2026</x:v>
      </x:c>
      <x:c r="C11" s="27" t="str">
        <x:v>臺北市政府社會局</x:v>
      </x:c>
      <x:c r="D11" s="37" t="str">
        <x:v>115年社區發展及互助共好補助計畫專案五、專案六核定表（115.05.04核定）</x:v>
      </x:c>
      <x:c r="E11" s="37" t="str">
        <x:v>https://www-ws.gov.taipei/Download.ashx?icon=..pdf&amp;n=MTE15bm056S%2B5Y2A55m85bGV5Y%2BK5LqS5Yqp5YWx5aW96KOc5Yqp6KiI55Wr5bCI5qGI5LqU44CB5bCI5qGI5YWt5qC45a6a6KGoLnBkZg%3D%3D&amp;u=LzAwMS9VcGxvYWQvMzU4L3JlbGZpbGUvNTc4ODEvOTU3MjQyMy8yZWZjYzU4Ni0zYjU0LTQwMjAtODRjMC1lYjAwMmRkM2I5NWIucGRm</x:v>
      </x:c>
    </x:row>
  </x:sheetData>
  <x:pageMargins left="0.7" right="0.7" top="0.75" bottom="0.75" header="0.3" footer="0.3"/>
  <x:tableParts count="1">
    <x:tablePart xmlns:r="http://schemas.openxmlformats.org/officeDocument/2006/relationships" r:id="R6d0237bb073e4df2"/>
  </x:tableParts>
</x:worksheet>
</file>