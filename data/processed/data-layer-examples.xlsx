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12b65c528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nityProfile" sheetId="1" r:id="R4817e862fa76400b"/>
    <x:sheet xmlns:r="http://schemas.openxmlformats.org/officeDocument/2006/relationships" name="CommunityActivities" sheetId="2" r:id="R997edb0993844661"/>
    <x:sheet xmlns:r="http://schemas.openxmlformats.org/officeDocument/2006/relationships" name="CommunityAwards" sheetId="3" r:id="Rb864956301264db9"/>
    <x:sheet xmlns:r="http://schemas.openxmlformats.org/officeDocument/2006/relationships" name="CommunitySDGs" sheetId="4" r:id="R51c41b59200c4c6d"/>
    <x:sheet xmlns:r="http://schemas.openxmlformats.org/officeDocument/2006/relationships" name="CommunityFunding" sheetId="5" r:id="Rba239cc3db35415c"/>
    <x:sheet xmlns:r="http://schemas.openxmlformats.org/officeDocument/2006/relationships" name="CommunityAIRanking" sheetId="6" r:id="R6c870b98ee35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########"/>
    <x:numFmt numFmtId="201" formatCode="yyyy-mm-dd"/>
    <x:numFmt numFmtId="202" formatCode="0"/>
    <x:numFmt numFmtId="203" formatCode="yyyy-mm-dd hh:mm"/>
    <x:numFmt numFmtId="204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C4F"/>
      </x:patternFill>
    </x:fill>
  </x:fills>
  <x:borders count="3">
    <x:border/>
    <x:border>
      <x:bottom style="thin">
        <x:color rgb="FFD8D2C7"/>
      </x:bottom>
    </x:border>
    <x:border>
      <x:top style="thin">
        <x:color rgb="FFD8D2C7"/>
      </x:top>
      <x:bottom style="thin">
        <x:color rgb="FFD8D2C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/>
    <x:xf numFmtId="0" fontId="3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2" xfId="0" applyNumberFormat="1" applyFont="1" applyFill="1" applyBorder="1"/>
    <x:xf numFmtId="201" fontId="3" fillId="0" borderId="2" xfId="0" applyNumberFormat="1" applyFont="1" applyFill="1" applyBorder="1"/>
    <x:xf numFmtId="202" fontId="3" fillId="0" borderId="2" xfId="0" applyNumberFormat="1" applyFont="1" applyFill="1" applyBorder="1"/>
    <x:xf numFmtId="203" fontId="3" fillId="0" borderId="2" xfId="0" applyNumberFormat="1" applyFont="1" applyFill="1" applyBorder="1"/>
    <x:xf numFmtId="204" fontId="3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162b58c3b4989" /><Relationship Type="http://schemas.openxmlformats.org/officeDocument/2006/relationships/theme" Target="/xl/theme/theme1.xml" Id="R2b75379c7ab94f7a" /><Relationship Type="http://schemas.microsoft.com/office/2022/11/relationships/FeaturePropertyBag" Target="/xl/featurePropertyBag/featurePropertyBag.xml" Id="R30bc9b25babe4e75" /><Relationship Type="http://schemas.openxmlformats.org/officeDocument/2006/relationships/sharedStrings" Target="/xl/sharedStrings.xml" Id="R0dfa39d2c65b4884" /><Relationship Type="http://schemas.openxmlformats.org/officeDocument/2006/relationships/worksheet" Target="/xl/worksheets/sheet1.xml" Id="R4817e862fa76400b" /><Relationship Type="http://schemas.openxmlformats.org/officeDocument/2006/relationships/worksheet" Target="/xl/worksheets/sheet2.xml" Id="R997edb0993844661" /><Relationship Type="http://schemas.openxmlformats.org/officeDocument/2006/relationships/worksheet" Target="/xl/worksheets/sheet3.xml" Id="Rb864956301264db9" /><Relationship Type="http://schemas.openxmlformats.org/officeDocument/2006/relationships/worksheet" Target="/xl/worksheets/sheet4.xml" Id="R51c41b59200c4c6d" /><Relationship Type="http://schemas.openxmlformats.org/officeDocument/2006/relationships/worksheet" Target="/xl/worksheets/sheet5.xml" Id="Rba239cc3db35415c" /><Relationship Type="http://schemas.openxmlformats.org/officeDocument/2006/relationships/worksheet" Target="/xl/worksheets/sheet6.xml" Id="R6c870b98ee354c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munityProfileTable" displayName="CommunityProfileTable" ref="A1:Z4" headerRowCount="1" totalsRowCount="0" totalsRowShown="0">
  <x:autoFilter ref="A1:Z4"/>
  <x:tableColumns count="26">
    <x:tableColumn id="1" name="profile_id"/>
    <x:tableColumn id="2" name="community_id"/>
    <x:tableColumn id="3" name="community_name_zh"/>
    <x:tableColumn id="4" name="association_name_zh"/>
    <x:tableColumn id="5" name="district_code"/>
    <x:tableColumn id="6" name="district_name_zh"/>
    <x:tableColumn id="7" name="village_name_zh"/>
    <x:tableColumn id="8" name="postal_code"/>
    <x:tableColumn id="9" name="address_zh"/>
    <x:tableColumn id="10" name="latitude"/>
    <x:tableColumn id="11" name="longitude"/>
    <x:tableColumn id="12" name="established_date"/>
    <x:tableColumn id="13" name="registration_number"/>
    <x:tableColumn id="14" name="term_number"/>
    <x:tableColumn id="15" name="organization_status"/>
    <x:tableColumn id="16" name="source_dataset_title"/>
    <x:tableColumn id="17" name="source_url"/>
    <x:tableColumn id="18" name="source_resource_updated_at"/>
    <x:tableColumn id="19" name="source_accessed_on"/>
    <x:tableColumn id="20" name="record_status"/>
    <x:tableColumn id="21" name="data_quality_flag"/>
    <x:tableColumn id="22" name="is_example"/>
    <x:tableColumn id="23" name="created_at"/>
    <x:tableColumn id="24" name="updated_at"/>
    <x:tableColumn id="25" name="schema_version"/>
    <x:tableColumn id="26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mmunityActivitiesTable" displayName="CommunityActivitiesTable" ref="A1:W3" headerRowCount="1" totalsRowCount="0" totalsRowShown="0">
  <x:autoFilter ref="A1:W3"/>
  <x:tableColumns count="23">
    <x:tableColumn id="1" name="activity_id"/>
    <x:tableColumn id="2" name="community_id"/>
    <x:tableColumn id="3" name="activity_name_zh"/>
    <x:tableColumn id="4" name="activity_type_code"/>
    <x:tableColumn id="5" name="description_zh"/>
    <x:tableColumn id="6" name="start_date"/>
    <x:tableColumn id="7" name="end_date"/>
    <x:tableColumn id="8" name="recurring"/>
    <x:tableColumn id="9" name="venue_name_zh"/>
    <x:tableColumn id="10" name="address_zh"/>
    <x:tableColumn id="11" name="participant_count"/>
    <x:tableColumn id="12" name="target_groups"/>
    <x:tableColumn id="13" name="evidence_level"/>
    <x:tableColumn id="14" name="source_title"/>
    <x:tableColumn id="15" name="source_url"/>
    <x:tableColumn id="16" name="source_accessed_on"/>
    <x:tableColumn id="17" name="record_status"/>
    <x:tableColumn id="18" name="data_quality_flag"/>
    <x:tableColumn id="19" name="is_example"/>
    <x:tableColumn id="20" name="created_at"/>
    <x:tableColumn id="21" name="updated_at"/>
    <x:tableColumn id="22" name="schema_version"/>
    <x:tableColumn id="23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ommunityAwardsTable" displayName="CommunityAwardsTable" ref="A1:T2" headerRowCount="1" totalsRowCount="0" totalsRowShown="0">
  <x:autoFilter ref="A1:T2"/>
  <x:tableColumns count="20">
    <x:tableColumn id="1" name="award_id"/>
    <x:tableColumn id="2" name="community_id"/>
    <x:tableColumn id="3" name="activity_id"/>
    <x:tableColumn id="4" name="award_name_zh"/>
    <x:tableColumn id="5" name="awarding_body_zh"/>
    <x:tableColumn id="6" name="award_level"/>
    <x:tableColumn id="7" name="award_category_zh"/>
    <x:tableColumn id="8" name="awarded_date"/>
    <x:tableColumn id="9" name="award_year"/>
    <x:tableColumn id="10" name="rank_or_result"/>
    <x:tableColumn id="11" name="evidence_url"/>
    <x:tableColumn id="12" name="source_title"/>
    <x:tableColumn id="13" name="source_accessed_on"/>
    <x:tableColumn id="14" name="record_status"/>
    <x:tableColumn id="15" name="data_quality_flag"/>
    <x:tableColumn id="16" name="is_example"/>
    <x:tableColumn id="17" name="created_at"/>
    <x:tableColumn id="18" name="updated_at"/>
    <x:tableColumn id="19" name="schema_version"/>
    <x:tableColumn id="20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mmunitySDGsTable" displayName="CommunitySDGsTable" ref="A1:W3" headerRowCount="1" totalsRowCount="0" totalsRowShown="0">
  <x:autoFilter ref="A1:W3"/>
  <x:tableColumns count="23">
    <x:tableColumn id="1" name="community_sdg_id"/>
    <x:tableColumn id="2" name="community_id"/>
    <x:tableColumn id="3" name="activity_id"/>
    <x:tableColumn id="4" name="sdg_goal"/>
    <x:tableColumn id="5" name="sdg_target"/>
    <x:tableColumn id="6" name="alignment_type"/>
    <x:tableColumn id="7" name="evidence_summary_zh"/>
    <x:tableColumn id="8" name="indicator_name_zh"/>
    <x:tableColumn id="9" name="observed_value"/>
    <x:tableColumn id="10" name="observed_unit"/>
    <x:tableColumn id="11" name="confidence_score"/>
    <x:tableColumn id="12" name="assessment_method"/>
    <x:tableColumn id="13" name="assessed_on"/>
    <x:tableColumn id="14" name="reviewer_role"/>
    <x:tableColumn id="15" name="source_title"/>
    <x:tableColumn id="16" name="source_url"/>
    <x:tableColumn id="17" name="record_status"/>
    <x:tableColumn id="18" name="data_quality_flag"/>
    <x:tableColumn id="19" name="is_example"/>
    <x:tableColumn id="20" name="created_at"/>
    <x:tableColumn id="21" name="updated_at"/>
    <x:tableColumn id="22" name="schema_version"/>
    <x:tableColumn id="23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ommunityFundingTable" displayName="CommunityFundingTable" ref="A1:Y2" headerRowCount="1" totalsRowCount="0" totalsRowShown="0">
  <x:autoFilter ref="A1:Y2"/>
  <x:tableColumns count="25">
    <x:tableColumn id="1" name="funding_id"/>
    <x:tableColumn id="2" name="community_id"/>
    <x:tableColumn id="3" name="activity_id"/>
    <x:tableColumn id="4" name="fiscal_year"/>
    <x:tableColumn id="5" name="program_name_zh"/>
    <x:tableColumn id="6" name="funder_name_zh"/>
    <x:tableColumn id="7" name="funding_type"/>
    <x:tableColumn id="8" name="funding_status"/>
    <x:tableColumn id="9" name="award_date"/>
    <x:tableColumn id="10" name="period_start"/>
    <x:tableColumn id="11" name="period_end"/>
    <x:tableColumn id="12" name="amount_requested_twd"/>
    <x:tableColumn id="13" name="amount_awarded_twd"/>
    <x:tableColumn id="14" name="cofunding_twd"/>
    <x:tableColumn id="15" name="reported_spend_twd"/>
    <x:tableColumn id="16" name="public_record_identifier"/>
    <x:tableColumn id="17" name="source_title"/>
    <x:tableColumn id="18" name="source_url"/>
    <x:tableColumn id="19" name="record_status"/>
    <x:tableColumn id="20" name="data_quality_flag"/>
    <x:tableColumn id="21" name="is_example"/>
    <x:tableColumn id="22" name="created_at"/>
    <x:tableColumn id="23" name="updated_at"/>
    <x:tableColumn id="24" name="schema_version"/>
    <x:tableColumn id="25" name="note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ommunityAIRankingTable" displayName="CommunityAIRankingTable" ref="A1:Z4" headerRowCount="1" totalsRowCount="0" totalsRowShown="0">
  <x:autoFilter ref="A1:Z4"/>
  <x:tableColumns count="26">
    <x:tableColumn id="1" name="ranking_id"/>
    <x:tableColumn id="2" name="community_id"/>
    <x:tableColumn id="3" name="evaluation_period_start"/>
    <x:tableColumn id="4" name="evaluation_period_end"/>
    <x:tableColumn id="5" name="model_version"/>
    <x:tableColumn id="6" name="eligibility_status"/>
    <x:tableColumn id="7" name="profile_completeness_score"/>
    <x:tableColumn id="8" name="community_participation_score"/>
    <x:tableColumn id="9" name="sdg_impact_score"/>
    <x:tableColumn id="10" name="governance_score"/>
    <x:tableColumn id="11" name="resource_sustainability_score"/>
    <x:tableColumn id="12" name="total_score"/>
    <x:tableColumn id="13" name="rank_scope"/>
    <x:tableColumn id="14" name="rank_position"/>
    <x:tableColumn id="15" name="confidence_score"/>
    <x:tableColumn id="16" name="evidence_record_count"/>
    <x:tableColumn id="17" name="generated_at"/>
    <x:tableColumn id="18" name="model_notes"/>
    <x:tableColumn id="19" name="source_methodology_url"/>
    <x:tableColumn id="20" name="record_status"/>
    <x:tableColumn id="21" name="data_quality_flag"/>
    <x:tableColumn id="22" name="is_example"/>
    <x:tableColumn id="23" name="created_at"/>
    <x:tableColumn id="24" name="updated_at"/>
    <x:tableColumn id="25" name="schema_version"/>
    <x:tableColumn id="26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be9bcd8a848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649260a37c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6cdd6e2077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fba6732af5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5f62b70700647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ca91f2d11249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9" hidden="0" customWidth="1"/>
    <x:col min="4" max="4" width="21" hidden="0" customWidth="1"/>
    <x:col min="5" max="5" width="15" hidden="0" customWidth="1"/>
    <x:col min="6" max="6" width="18" hidden="0" customWidth="1"/>
    <x:col min="7" max="7" width="17" hidden="0" customWidth="1"/>
    <x:col min="8" max="8" width="13" hidden="0" customWidth="1"/>
    <x:col min="9" max="9" width="23" hidden="0" customWidth="1"/>
    <x:col min="10" max="10" width="12" hidden="0" customWidth="1"/>
    <x:col min="11" max="11" width="13" hidden="0" customWidth="1"/>
    <x:col min="12" max="12" width="18" hidden="0" customWidth="1"/>
    <x:col min="13" max="13" width="21" hidden="0" customWidth="1"/>
    <x:col min="14" max="14" width="13" hidden="0" customWidth="1"/>
    <x:col min="15" max="15" width="21" hidden="0" customWidth="1"/>
    <x:col min="16" max="16" width="22" hidden="0" customWidth="1"/>
    <x:col min="17" max="17" width="38" hidden="0" customWidth="1"/>
    <x:col min="18" max="18" width="28" hidden="0" customWidth="1"/>
    <x:col min="19" max="19" width="20" hidden="0" customWidth="1"/>
    <x:col min="20" max="20" width="15" hidden="0" customWidth="1"/>
    <x:col min="21" max="21" width="19" hidden="0" customWidth="1"/>
    <x:col min="22" max="22" width="12" hidden="0" customWidth="1"/>
    <x:col min="23" max="23" width="22" hidden="0" customWidth="1"/>
    <x:col min="24" max="24" width="22" hidden="0" customWidth="1"/>
    <x:col min="25" max="25" width="16" hidden="0" customWidth="1"/>
    <x:col min="26" max="26" width="28" hidden="0" customWidth="1"/>
  </x:cols>
  <x:sheetData>
    <x:row r="1" ht="34" customHeight="1">
      <x:c r="A1" s="9" t="str">
        <x:v>profile_id</x:v>
      </x:c>
      <x:c r="B1" s="9" t="str">
        <x:v>community_id</x:v>
      </x:c>
      <x:c r="C1" s="9" t="str">
        <x:v>community_name_zh</x:v>
      </x:c>
      <x:c r="D1" s="9" t="str">
        <x:v>association_name_zh</x:v>
      </x:c>
      <x:c r="E1" s="9" t="str">
        <x:v>district_code</x:v>
      </x:c>
      <x:c r="F1" s="9" t="str">
        <x:v>district_name_zh</x:v>
      </x:c>
      <x:c r="G1" s="9" t="str">
        <x:v>village_name_zh</x:v>
      </x:c>
      <x:c r="H1" s="9" t="str">
        <x:v>postal_code</x:v>
      </x:c>
      <x:c r="I1" s="9" t="str">
        <x:v>address_zh</x:v>
      </x:c>
      <x:c r="J1" s="9" t="str">
        <x:v>latitude</x:v>
      </x:c>
      <x:c r="K1" s="9" t="str">
        <x:v>longitude</x:v>
      </x:c>
      <x:c r="L1" s="9" t="str">
        <x:v>established_date</x:v>
      </x:c>
      <x:c r="M1" s="9" t="str">
        <x:v>registration_number</x:v>
      </x:c>
      <x:c r="N1" s="9" t="str">
        <x:v>term_number</x:v>
      </x:c>
      <x:c r="O1" s="9" t="str">
        <x:v>organization_status</x:v>
      </x:c>
      <x:c r="P1" s="9" t="str">
        <x:v>source_dataset_title</x:v>
      </x:c>
      <x:c r="Q1" s="9" t="str">
        <x:v>source_url</x:v>
      </x:c>
      <x:c r="R1" s="9" t="str">
        <x:v>source_resource_updated_at</x:v>
      </x:c>
      <x:c r="S1" s="9" t="str">
        <x:v>source_accessed_on</x:v>
      </x:c>
      <x:c r="T1" s="9" t="str">
        <x:v>record_status</x:v>
      </x:c>
      <x:c r="U1" s="9" t="str">
        <x:v>data_quality_flag</x:v>
      </x:c>
      <x:c r="V1" s="9" t="str">
        <x:v>is_example</x:v>
      </x:c>
      <x:c r="W1" s="9" t="str">
        <x:v>created_at</x:v>
      </x:c>
      <x:c r="X1" s="9" t="str">
        <x:v>updated_at</x:v>
      </x:c>
      <x:c r="Y1" s="9" t="str">
        <x:v>schema_version</x:v>
      </x:c>
      <x:c r="Z1" s="9" t="str">
        <x:v>notes</x:v>
      </x:c>
    </x:row>
    <x:row r="2">
      <x:c r="A2" s="10" t="str">
        <x:v>PROFILE-COM-0001</x:v>
      </x:c>
      <x:c r="B2" s="10" t="str">
        <x:v>COM-0001</x:v>
      </x:c>
      <x:c r="C2" s="10" t="str">
        <x:v>華江</x:v>
      </x:c>
      <x:c r="D2" s="10" t="str">
        <x:v>臺北市萬華區華江社區發展協會</x:v>
      </x:c>
      <x:c r="E2" s="10" t="str">
        <x:v>63000070</x:v>
      </x:c>
      <x:c r="F2" s="10" t="str">
        <x:v>萬華區</x:v>
      </x:c>
      <x:c r="G2" s="10" t="str">
        <x:v>華江里</x:v>
      </x:c>
      <x:c r="H2" s="10" t="str">
        <x:v>108</x:v>
      </x:c>
      <x:c r="I2" s="10" t="str">
        <x:v>臺北市萬華區華江里長順街14巷1弄2號1樓</x:v>
      </x:c>
      <x:c r="J2" s="12" t="n">
        <x:v>25.0313326</x:v>
      </x:c>
      <x:c r="K2" s="12" t="n">
        <x:v>121.4897084</x:v>
      </x:c>
      <x:c r="L2" s="13" t="n">
        <x:v>33769</x:v>
      </x:c>
      <x:c r="M2" s="10" t="str">
        <x:v>北市社七字第29038號</x:v>
      </x:c>
      <x:c r="N2" s="14" t="n">
        <x:v>8</x:v>
      </x:c>
      <x:c r="O2" s="10" t="str">
        <x:v>unknown</x:v>
      </x:c>
      <x:c r="P2" s="10" t="str">
        <x:v>臺北市社區發展服務_社區發展協會</x:v>
      </x:c>
      <x:c r="Q2" s="10" t="str">
        <x:v>https://data.taipei/dataset/detail?id=e81a07f7-8137-4019-a96f-210a00ef72a3</x:v>
      </x:c>
      <x:c r="R2" s="15" t="n">
        <x:v>46112.300729166665</x:v>
      </x:c>
      <x:c r="S2" s="13" t="n">
        <x:v>46237</x:v>
      </x:c>
      <x:c r="T2" s="10" t="str">
        <x:v>verified</x:v>
      </x:c>
      <x:c r="U2" s="10" t="str">
        <x:v>none</x:v>
      </x:c>
      <x:c r="V2" s="11" t="b">
        <x:v>0</x:v>
      </x:c>
      <x:c r="W2" s="15" t="n">
        <x:v>46237.416666666664</x:v>
      </x:c>
      <x:c r="X2" s="15" t="n">
        <x:v>46237.416666666664</x:v>
      </x:c>
      <x:c r="Y2" s="10" t="str">
        <x:v>1.0.0</x:v>
      </x:c>
      <x:c r="Z2" s="10" t="str">
        <x:v>政府名冊未提供營運狀態，因此不推論為 active。</x:v>
      </x:c>
    </x:row>
    <x:row r="3">
      <x:c r="A3" s="10" t="str">
        <x:v>PROFILE-COM-0002</x:v>
      </x:c>
      <x:c r="B3" s="10" t="str">
        <x:v>COM-0002</x:v>
      </x:c>
      <x:c r="C3" s="10" t="str">
        <x:v>富福</x:v>
      </x:c>
      <x:c r="D3" s="10" t="str">
        <x:v>臺北市萬華區富福社區發展協會</x:v>
      </x:c>
      <x:c r="E3" s="10" t="str">
        <x:v>63000070</x:v>
      </x:c>
      <x:c r="F3" s="10" t="str">
        <x:v>萬華區</x:v>
      </x:c>
      <x:c r="G3" s="10" t="str">
        <x:v>富福里</x:v>
      </x:c>
      <x:c r="H3" s="10" t="str">
        <x:v>108</x:v>
      </x:c>
      <x:c r="I3" s="10" t="str">
        <x:v>臺北市萬華區富福里西園路一段179號2樓</x:v>
      </x:c>
      <x:c r="J3" s="12" t="n">
        <x:v>25.0345473</x:v>
      </x:c>
      <x:c r="K3" s="12" t="n">
        <x:v>121.499469</x:v>
      </x:c>
      <x:c r="L3" s="13" t="n">
        <x:v>36435</x:v>
      </x:c>
      <x:c r="M3" s="10" t="str">
        <x:v>北市社七字第8827266700號</x:v>
      </x:c>
      <x:c r="N3" s="14" t="n">
        <x:v>6</x:v>
      </x:c>
      <x:c r="O3" s="10" t="str">
        <x:v>unknown</x:v>
      </x:c>
      <x:c r="P3" s="10" t="str">
        <x:v>臺北市社區發展服務_社區發展協會</x:v>
      </x:c>
      <x:c r="Q3" s="10" t="str">
        <x:v>https://data.taipei/dataset/detail?id=e81a07f7-8137-4019-a96f-210a00ef72a3</x:v>
      </x:c>
      <x:c r="R3" s="15" t="n">
        <x:v>46112.300729166665</x:v>
      </x:c>
      <x:c r="S3" s="13" t="n">
        <x:v>46237</x:v>
      </x:c>
      <x:c r="T3" s="10" t="str">
        <x:v>verified</x:v>
      </x:c>
      <x:c r="U3" s="10" t="str">
        <x:v>none</x:v>
      </x:c>
      <x:c r="V3" s="11" t="b">
        <x:v>0</x:v>
      </x:c>
      <x:c r="W3" s="15" t="n">
        <x:v>46237.416666666664</x:v>
      </x:c>
      <x:c r="X3" s="15" t="n">
        <x:v>46237.416666666664</x:v>
      </x:c>
      <x:c r="Y3" s="10" t="str">
        <x:v>1.0.0</x:v>
      </x:c>
      <x:c r="Z3" s="10" t="str">
        <x:v>政府名冊未提供營運狀態，因此不推論為 active。</x:v>
      </x:c>
    </x:row>
    <x:row r="4">
      <x:c r="A4" s="10" t="str">
        <x:v>PROFILE-COM-0003</x:v>
      </x:c>
      <x:c r="B4" s="10" t="str">
        <x:v>COM-0003</x:v>
      </x:c>
      <x:c r="C4" s="10" t="str">
        <x:v>雙園</x:v>
      </x:c>
      <x:c r="D4" s="10" t="str">
        <x:v>臺北市萬華區雙園社區發展協會</x:v>
      </x:c>
      <x:c r="E4" s="10" t="str">
        <x:v>63000070</x:v>
      </x:c>
      <x:c r="F4" s="10" t="str">
        <x:v>萬華區</x:v>
      </x:c>
      <x:c r="G4" s="10" t="str">
        <x:v>雙園里</x:v>
      </x:c>
      <x:c r="H4" s="10" t="str">
        <x:v>108</x:v>
      </x:c>
      <x:c r="I4" s="10" t="str">
        <x:v>臺北市萬華區雙園里莒光路293號1樓</x:v>
      </x:c>
      <x:c r="J4" s="12" t="n">
        <x:v>25.030973</x:v>
      </x:c>
      <x:c r="K4" s="12" t="n">
        <x:v>121.4993599</x:v>
      </x:c>
      <x:c r="L4" s="13" t="n">
        <x:v>33731</x:v>
      </x:c>
      <x:c r="M4" s="10" t="str">
        <x:v>北市社七字第23377號</x:v>
      </x:c>
      <x:c r="N4" s="14" t="n">
        <x:v>8</x:v>
      </x:c>
      <x:c r="O4" s="10" t="str">
        <x:v>unknown</x:v>
      </x:c>
      <x:c r="P4" s="10" t="str">
        <x:v>臺北市社區發展服務_社區發展協會</x:v>
      </x:c>
      <x:c r="Q4" s="10" t="str">
        <x:v>https://data.taipei/dataset/detail?id=e81a07f7-8137-4019-a96f-210a00ef72a3</x:v>
      </x:c>
      <x:c r="R4" s="15" t="n">
        <x:v>46112.300729166665</x:v>
      </x:c>
      <x:c r="S4" s="13" t="n">
        <x:v>46237</x:v>
      </x:c>
      <x:c r="T4" s="10" t="str">
        <x:v>verified</x:v>
      </x:c>
      <x:c r="U4" s="10" t="str">
        <x:v>none</x:v>
      </x:c>
      <x:c r="V4" s="11" t="b">
        <x:v>0</x:v>
      </x:c>
      <x:c r="W4" s="15" t="n">
        <x:v>46237.416666666664</x:v>
      </x:c>
      <x:c r="X4" s="15" t="n">
        <x:v>46237.416666666664</x:v>
      </x:c>
      <x:c r="Y4" s="10" t="str">
        <x:v>1.0.0</x:v>
      </x:c>
      <x:c r="Z4" s="10" t="str">
        <x:v>政府名冊未提供營運狀態，因此不推論為 active。</x:v>
      </x:c>
    </x:row>
  </x:sheetData>
  <x:pageMargins left="0.7" right="0.7" top="0.75" bottom="0.75" header="0.3" footer="0.3"/>
  <x:tableParts count="1">
    <x:tablePart xmlns:r="http://schemas.openxmlformats.org/officeDocument/2006/relationships" r:id="R640be9bcd8a848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9" hidden="0" customWidth="1"/>
    <x:col min="4" max="4" width="20" hidden="0" customWidth="1"/>
    <x:col min="5" max="5" width="27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2" hidden="0" customWidth="1"/>
    <x:col min="11" max="11" width="19" hidden="0" customWidth="1"/>
    <x:col min="12" max="12" width="25" hidden="0" customWidth="1"/>
    <x:col min="13" max="13" width="16" hidden="0" customWidth="1"/>
    <x:col min="14" max="14" width="14" hidden="0" customWidth="1"/>
    <x:col min="15" max="15" width="12" hidden="0" customWidth="1"/>
    <x:col min="16" max="16" width="20" hidden="0" customWidth="1"/>
    <x:col min="17" max="17" width="15" hidden="0" customWidth="1"/>
    <x:col min="18" max="18" width="19" hidden="0" customWidth="1"/>
    <x:col min="19" max="19" width="12" hidden="0" customWidth="1"/>
    <x:col min="20" max="20" width="22" hidden="0" customWidth="1"/>
    <x:col min="21" max="21" width="22" hidden="0" customWidth="1"/>
    <x:col min="22" max="22" width="16" hidden="0" customWidth="1"/>
    <x:col min="23" max="23" width="28" hidden="0" customWidth="1"/>
  </x:cols>
  <x:sheetData>
    <x:row r="1" ht="34" customHeight="1">
      <x:c r="A1" s="9" t="str">
        <x:v>activity_id</x:v>
      </x:c>
      <x:c r="B1" s="9" t="str">
        <x:v>community_id</x:v>
      </x:c>
      <x:c r="C1" s="9" t="str">
        <x:v>activity_name_zh</x:v>
      </x:c>
      <x:c r="D1" s="9" t="str">
        <x:v>activity_type_code</x:v>
      </x:c>
      <x:c r="E1" s="9" t="str">
        <x:v>description_zh</x:v>
      </x:c>
      <x:c r="F1" s="9" t="str">
        <x:v>start_date</x:v>
      </x:c>
      <x:c r="G1" s="9" t="str">
        <x:v>end_date</x:v>
      </x:c>
      <x:c r="H1" s="9" t="str">
        <x:v>recurring</x:v>
      </x:c>
      <x:c r="I1" s="9" t="str">
        <x:v>venue_name_zh</x:v>
      </x:c>
      <x:c r="J1" s="9" t="str">
        <x:v>address_zh</x:v>
      </x:c>
      <x:c r="K1" s="9" t="str">
        <x:v>participant_count</x:v>
      </x:c>
      <x:c r="L1" s="9" t="str">
        <x:v>target_groups</x:v>
      </x:c>
      <x:c r="M1" s="9" t="str">
        <x:v>evidence_level</x:v>
      </x:c>
      <x:c r="N1" s="9" t="str">
        <x:v>source_title</x:v>
      </x:c>
      <x:c r="O1" s="9" t="str">
        <x:v>source_url</x:v>
      </x:c>
      <x:c r="P1" s="9" t="str">
        <x:v>source_accessed_on</x:v>
      </x:c>
      <x:c r="Q1" s="9" t="str">
        <x:v>record_status</x:v>
      </x:c>
      <x:c r="R1" s="9" t="str">
        <x:v>data_quality_flag</x:v>
      </x:c>
      <x:c r="S1" s="9" t="str">
        <x:v>is_example</x:v>
      </x:c>
      <x:c r="T1" s="9" t="str">
        <x:v>created_at</x:v>
      </x:c>
      <x:c r="U1" s="9" t="str">
        <x:v>updated_at</x:v>
      </x:c>
      <x:c r="V1" s="9" t="str">
        <x:v>schema_version</x:v>
      </x:c>
      <x:c r="W1" s="9" t="str">
        <x:v>notes</x:v>
      </x:c>
    </x:row>
    <x:row r="2">
      <x:c r="A2" s="10" t="str">
        <x:v>ACT-EXAMPLE-0001</x:v>
      </x:c>
      <x:c r="B2" s="10" t="str">
        <x:v>COM-0001</x:v>
      </x:c>
      <x:c r="C2" s="10" t="str">
        <x:v>社區關懷據點健康促進日（教學示例）</x:v>
      </x:c>
      <x:c r="D2" s="10" t="str">
        <x:v>health_promotion</x:v>
      </x:c>
      <x:c r="E2" s="10" t="str">
        <x:v>用於展示活動資料結構，不代表華江社區實際辦理紀錄。</x:v>
      </x:c>
      <x:c r="F2" s="13" t="n">
        <x:v>45748</x:v>
      </x:c>
      <x:c r="G2" s="13" t="n">
        <x:v>45748</x:v>
      </x:c>
      <x:c r="H2" s="11" t="b">
        <x:v>0</x:v>
      </x:c>
      <x:c r="I2" s="10" t="str">
        <x:v>示例場地</x:v>
      </x:c>
      <x:c r="J2" s="10"/>
      <x:c r="K2" s="14" t="n">
        <x:v>35</x:v>
      </x:c>
      <x:c r="L2" s="10" t="str">
        <x:v>older_adults;caregivers</x:v>
      </x:c>
      <x:c r="M2" s="10" t="str">
        <x:v>D</x:v>
      </x:c>
      <x:c r="N2" s="10" t="str">
        <x:v>研究資料層教學示例</x:v>
      </x:c>
      <x:c r="O2" s="10"/>
      <x:c r="P2" s="13" t="n">
        <x:v>46237</x:v>
      </x:c>
      <x:c r="Q2" s="10" t="str">
        <x:v>draft</x:v>
      </x:c>
      <x:c r="R2" s="10" t="str">
        <x:v>synthetic_example</x:v>
      </x:c>
      <x:c r="S2" s="11" t="b">
        <x:v>1</x:v>
      </x:c>
      <x:c r="T2" s="15" t="n">
        <x:v>46237.416666666664</x:v>
      </x:c>
      <x:c r="U2" s="15" t="n">
        <x:v>46237.416666666664</x:v>
      </x:c>
      <x:c r="V2" s="10" t="str">
        <x:v>1.0.0</x:v>
      </x:c>
      <x:c r="W2" s="10" t="str">
        <x:v>所有活動內容與人數均為合成範例，不得引用為研究發現。</x:v>
      </x:c>
    </x:row>
    <x:row r="3">
      <x:c r="A3" s="10" t="str">
        <x:v>ACT-EXAMPLE-0002</x:v>
      </x:c>
      <x:c r="B3" s="10" t="str">
        <x:v>COM-0002</x:v>
      </x:c>
      <x:c r="C3" s="10" t="str">
        <x:v>街區環境走讀（教學示例）</x:v>
      </x:c>
      <x:c r="D3" s="10" t="str">
        <x:v>environment</x:v>
      </x:c>
      <x:c r="E3" s="10" t="str">
        <x:v>用於展示環境教育活動欄位。</x:v>
      </x:c>
      <x:c r="F3" s="13" t="n">
        <x:v>45794</x:v>
      </x:c>
      <x:c r="G3" s="13" t="n">
        <x:v>45794</x:v>
      </x:c>
      <x:c r="H3" s="11" t="b">
        <x:v>0</x:v>
      </x:c>
      <x:c r="I3" s="10" t="str">
        <x:v>示例街區路線</x:v>
      </x:c>
      <x:c r="J3" s="10"/>
      <x:c r="K3" s="14" t="n">
        <x:v>24</x:v>
      </x:c>
      <x:c r="L3" s="10" t="str">
        <x:v>residents;students</x:v>
      </x:c>
      <x:c r="M3" s="10" t="str">
        <x:v>D</x:v>
      </x:c>
      <x:c r="N3" s="10" t="str">
        <x:v>研究資料層教學示例</x:v>
      </x:c>
      <x:c r="O3" s="10"/>
      <x:c r="P3" s="13" t="n">
        <x:v>46237</x:v>
      </x:c>
      <x:c r="Q3" s="10" t="str">
        <x:v>draft</x:v>
      </x:c>
      <x:c r="R3" s="10" t="str">
        <x:v>synthetic_example</x:v>
      </x:c>
      <x:c r="S3" s="11" t="b">
        <x:v>1</x:v>
      </x:c>
      <x:c r="T3" s="15" t="n">
        <x:v>46237.416666666664</x:v>
      </x:c>
      <x:c r="U3" s="15" t="n">
        <x:v>46237.416666666664</x:v>
      </x:c>
      <x:c r="V3" s="10" t="str">
        <x:v>1.0.0</x:v>
      </x:c>
      <x:c r="W3" s="10" t="str">
        <x:v>所有活動內容與人數均為合成範例，不得引用為研究發現。</x:v>
      </x:c>
    </x:row>
  </x:sheetData>
  <x:pageMargins left="0.7" right="0.7" top="0.75" bottom="0.75" header="0.3" footer="0.3"/>
  <x:tableParts count="1">
    <x:tablePart xmlns:r="http://schemas.openxmlformats.org/officeDocument/2006/relationships" r:id="R78649260a37c4d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13" hidden="0" customWidth="1"/>
    <x:col min="7" max="7" width="19" hidden="0" customWidth="1"/>
    <x:col min="8" max="8" width="14" hidden="0" customWidth="1"/>
    <x:col min="9" max="9" width="12" hidden="0" customWidth="1"/>
    <x:col min="10" max="10" width="16" hidden="0" customWidth="1"/>
    <x:col min="11" max="11" width="14" hidden="0" customWidth="1"/>
    <x:col min="12" max="12" width="14" hidden="0" customWidth="1"/>
    <x:col min="13" max="13" width="20" hidden="0" customWidth="1"/>
    <x:col min="14" max="14" width="15" hidden="0" customWidth="1"/>
    <x:col min="15" max="15" width="19" hidden="0" customWidth="1"/>
    <x:col min="16" max="16" width="12" hidden="0" customWidth="1"/>
    <x:col min="17" max="17" width="22" hidden="0" customWidth="1"/>
    <x:col min="18" max="18" width="22" hidden="0" customWidth="1"/>
    <x:col min="19" max="19" width="16" hidden="0" customWidth="1"/>
    <x:col min="20" max="20" width="19" hidden="0" customWidth="1"/>
  </x:cols>
  <x:sheetData>
    <x:row r="1" ht="34" customHeight="1">
      <x:c r="A1" s="9" t="str">
        <x:v>award_id</x:v>
      </x:c>
      <x:c r="B1" s="9" t="str">
        <x:v>community_id</x:v>
      </x:c>
      <x:c r="C1" s="9" t="str">
        <x:v>activity_id</x:v>
      </x:c>
      <x:c r="D1" s="9" t="str">
        <x:v>award_name_zh</x:v>
      </x:c>
      <x:c r="E1" s="9" t="str">
        <x:v>awarding_body_zh</x:v>
      </x:c>
      <x:c r="F1" s="9" t="str">
        <x:v>award_level</x:v>
      </x:c>
      <x:c r="G1" s="9" t="str">
        <x:v>award_category_zh</x:v>
      </x:c>
      <x:c r="H1" s="9" t="str">
        <x:v>awarded_date</x:v>
      </x:c>
      <x:c r="I1" s="9" t="str">
        <x:v>award_year</x:v>
      </x:c>
      <x:c r="J1" s="9" t="str">
        <x:v>rank_or_result</x:v>
      </x:c>
      <x:c r="K1" s="9" t="str">
        <x:v>evidence_url</x:v>
      </x:c>
      <x:c r="L1" s="9" t="str">
        <x:v>source_title</x:v>
      </x:c>
      <x:c r="M1" s="9" t="str">
        <x:v>source_accessed_on</x:v>
      </x:c>
      <x:c r="N1" s="9" t="str">
        <x:v>record_status</x:v>
      </x:c>
      <x:c r="O1" s="9" t="str">
        <x:v>data_quality_flag</x:v>
      </x:c>
      <x:c r="P1" s="9" t="str">
        <x:v>is_example</x:v>
      </x:c>
      <x:c r="Q1" s="9" t="str">
        <x:v>created_at</x:v>
      </x:c>
      <x:c r="R1" s="9" t="str">
        <x:v>updated_at</x:v>
      </x:c>
      <x:c r="S1" s="9" t="str">
        <x:v>schema_version</x:v>
      </x:c>
      <x:c r="T1" s="9" t="str">
        <x:v>notes</x:v>
      </x:c>
    </x:row>
    <x:row r="2">
      <x:c r="A2" s="10" t="str">
        <x:v>AWD-EXAMPLE-0001</x:v>
      </x:c>
      <x:c r="B2" s="10" t="str">
        <x:v>COM-0001</x:v>
      </x:c>
      <x:c r="C2" s="10" t="str">
        <x:v>ACT-EXAMPLE-0001</x:v>
      </x:c>
      <x:c r="D2" s="10" t="str">
        <x:v>社區健康促進示例獎（非真實）</x:v>
      </x:c>
      <x:c r="E2" s="10" t="str">
        <x:v>教學示例機構（非真實）</x:v>
      </x:c>
      <x:c r="F2" s="10" t="str">
        <x:v>city</x:v>
      </x:c>
      <x:c r="G2" s="10" t="str">
        <x:v>健康促進</x:v>
      </x:c>
      <x:c r="H2" s="13" t="n">
        <x:v>45992</x:v>
      </x:c>
      <x:c r="I2" s="14" t="n">
        <x:v>2025</x:v>
      </x:c>
      <x:c r="J2" s="10" t="str">
        <x:v>示例優等</x:v>
      </x:c>
      <x:c r="K2" s="10"/>
      <x:c r="L2" s="10" t="str">
        <x:v>研究資料層教學示例</x:v>
      </x:c>
      <x:c r="M2" s="13" t="n">
        <x:v>46237</x:v>
      </x:c>
      <x:c r="N2" s="10" t="str">
        <x:v>draft</x:v>
      </x:c>
      <x:c r="O2" s="10" t="str">
        <x:v>synthetic_example</x:v>
      </x:c>
      <x:c r="P2" s="11" t="b">
        <x:v>1</x:v>
      </x:c>
      <x:c r="Q2" s="15" t="n">
        <x:v>46237.416666666664</x:v>
      </x:c>
      <x:c r="R2" s="15" t="n">
        <x:v>46237.416666666664</x:v>
      </x:c>
      <x:c r="S2" s="10" t="str">
        <x:v>1.0.0</x:v>
      </x:c>
      <x:c r="T2" s="10" t="str">
        <x:v>合成範例，不代表任何組織實際得獎。</x:v>
      </x:c>
    </x:row>
  </x:sheetData>
  <x:pageMargins left="0.7" right="0.7" top="0.75" bottom="0.75" header="0.3" footer="0.3"/>
  <x:tableParts count="1">
    <x:tablePart xmlns:r="http://schemas.openxmlformats.org/officeDocument/2006/relationships" r:id="R8a6cdd6e20774e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6" hidden="0" customWidth="1"/>
    <x:col min="7" max="7" width="29" hidden="0" customWidth="1"/>
    <x:col min="8" max="8" width="19" hidden="0" customWidth="1"/>
    <x:col min="9" max="9" width="16" hidden="0" customWidth="1"/>
    <x:col min="10" max="10" width="15" hidden="0" customWidth="1"/>
    <x:col min="11" max="11" width="18" hidden="0" customWidth="1"/>
    <x:col min="12" max="12" width="19" hidden="0" customWidth="1"/>
    <x:col min="13" max="13" width="13" hidden="0" customWidth="1"/>
    <x:col min="14" max="14" width="15" hidden="0" customWidth="1"/>
    <x:col min="15" max="15" width="14" hidden="0" customWidth="1"/>
    <x:col min="16" max="16" width="12" hidden="0" customWidth="1"/>
    <x:col min="17" max="17" width="15" hidden="0" customWidth="1"/>
    <x:col min="18" max="18" width="19" hidden="0" customWidth="1"/>
    <x:col min="19" max="19" width="12" hidden="0" customWidth="1"/>
    <x:col min="20" max="20" width="22" hidden="0" customWidth="1"/>
    <x:col min="21" max="21" width="22" hidden="0" customWidth="1"/>
    <x:col min="22" max="22" width="16" hidden="0" customWidth="1"/>
    <x:col min="23" max="23" width="29" hidden="0" customWidth="1"/>
  </x:cols>
  <x:sheetData>
    <x:row r="1" ht="34" customHeight="1">
      <x:c r="A1" s="9" t="str">
        <x:v>community_sdg_id</x:v>
      </x:c>
      <x:c r="B1" s="9" t="str">
        <x:v>community_id</x:v>
      </x:c>
      <x:c r="C1" s="9" t="str">
        <x:v>activity_id</x:v>
      </x:c>
      <x:c r="D1" s="9" t="str">
        <x:v>sdg_goal</x:v>
      </x:c>
      <x:c r="E1" s="9" t="str">
        <x:v>sdg_target</x:v>
      </x:c>
      <x:c r="F1" s="9" t="str">
        <x:v>alignment_type</x:v>
      </x:c>
      <x:c r="G1" s="9" t="str">
        <x:v>evidence_summary_zh</x:v>
      </x:c>
      <x:c r="H1" s="9" t="str">
        <x:v>indicator_name_zh</x:v>
      </x:c>
      <x:c r="I1" s="9" t="str">
        <x:v>observed_value</x:v>
      </x:c>
      <x:c r="J1" s="9" t="str">
        <x:v>observed_unit</x:v>
      </x:c>
      <x:c r="K1" s="9" t="str">
        <x:v>confidence_score</x:v>
      </x:c>
      <x:c r="L1" s="9" t="str">
        <x:v>assessment_method</x:v>
      </x:c>
      <x:c r="M1" s="9" t="str">
        <x:v>assessed_on</x:v>
      </x:c>
      <x:c r="N1" s="9" t="str">
        <x:v>reviewer_role</x:v>
      </x:c>
      <x:c r="O1" s="9" t="str">
        <x:v>source_title</x:v>
      </x:c>
      <x:c r="P1" s="9" t="str">
        <x:v>source_url</x:v>
      </x:c>
      <x:c r="Q1" s="9" t="str">
        <x:v>record_status</x:v>
      </x:c>
      <x:c r="R1" s="9" t="str">
        <x:v>data_quality_flag</x:v>
      </x:c>
      <x:c r="S1" s="9" t="str">
        <x:v>is_example</x:v>
      </x:c>
      <x:c r="T1" s="9" t="str">
        <x:v>created_at</x:v>
      </x:c>
      <x:c r="U1" s="9" t="str">
        <x:v>updated_at</x:v>
      </x:c>
      <x:c r="V1" s="9" t="str">
        <x:v>schema_version</x:v>
      </x:c>
      <x:c r="W1" s="9" t="str">
        <x:v>notes</x:v>
      </x:c>
    </x:row>
    <x:row r="2">
      <x:c r="A2" s="10" t="str">
        <x:v>SDG-EXAMPLE-0001</x:v>
      </x:c>
      <x:c r="B2" s="10" t="str">
        <x:v>COM-0001</x:v>
      </x:c>
      <x:c r="C2" s="10" t="str">
        <x:v>ACT-EXAMPLE-0001</x:v>
      </x:c>
      <x:c r="D2" s="14" t="n">
        <x:v>3</x:v>
      </x:c>
      <x:c r="E2" s="10" t="str">
        <x:v>3.4</x:v>
      </x:c>
      <x:c r="F2" s="10" t="str">
        <x:v>direct</x:v>
      </x:c>
      <x:c r="G2" s="10" t="str">
        <x:v>教學示例活動以健康促進為主題；尚無真實成效證據。</x:v>
      </x:c>
      <x:c r="H2" s="10" t="str">
        <x:v>示例參與人次</x:v>
      </x:c>
      <x:c r="I2" s="12" t="n">
        <x:v>35</x:v>
      </x:c>
      <x:c r="J2" s="10" t="str">
        <x:v>人次</x:v>
      </x:c>
      <x:c r="K2" s="12" t="n">
        <x:v>0.35</x:v>
      </x:c>
      <x:c r="L2" s="10" t="str">
        <x:v>mixed</x:v>
      </x:c>
      <x:c r="M2" s="13" t="n">
        <x:v>46237</x:v>
      </x:c>
      <x:c r="N2" s="10" t="str">
        <x:v>researcher</x:v>
      </x:c>
      <x:c r="O2" s="10" t="str">
        <x:v>研究資料層教學示例</x:v>
      </x:c>
      <x:c r="P2" s="10"/>
      <x:c r="Q2" s="10" t="str">
        <x:v>draft</x:v>
      </x:c>
      <x:c r="R2" s="10" t="str">
        <x:v>synthetic_example</x:v>
      </x:c>
      <x:c r="S2" s="11" t="b">
        <x:v>1</x:v>
      </x:c>
      <x:c r="T2" s="15" t="n">
        <x:v>46237.416666666664</x:v>
      </x:c>
      <x:c r="U2" s="15" t="n">
        <x:v>46237.416666666664</x:v>
      </x:c>
      <x:c r="V2" s="10" t="str">
        <x:v>1.0.0</x:v>
      </x:c>
      <x:c r="W2" s="10" t="str">
        <x:v>僅展示 SDG 證據鏈結構，不構成 SDG 成效結論。</x:v>
      </x:c>
    </x:row>
    <x:row r="3">
      <x:c r="A3" s="10" t="str">
        <x:v>SDG-EXAMPLE-0002</x:v>
      </x:c>
      <x:c r="B3" s="10" t="str">
        <x:v>COM-0002</x:v>
      </x:c>
      <x:c r="C3" s="10" t="str">
        <x:v>ACT-EXAMPLE-0002</x:v>
      </x:c>
      <x:c r="D3" s="14" t="n">
        <x:v>11</x:v>
      </x:c>
      <x:c r="E3" s="10" t="str">
        <x:v>11.3</x:v>
      </x:c>
      <x:c r="F3" s="10" t="str">
        <x:v>indirect</x:v>
      </x:c>
      <x:c r="G3" s="10" t="str">
        <x:v>教學示例活動包含居民參與與街區觀察；尚無真實成效證據。</x:v>
      </x:c>
      <x:c r="H3" s="10" t="str">
        <x:v>示例參與人次</x:v>
      </x:c>
      <x:c r="I3" s="12" t="n">
        <x:v>24</x:v>
      </x:c>
      <x:c r="J3" s="10" t="str">
        <x:v>人次</x:v>
      </x:c>
      <x:c r="K3" s="12" t="n">
        <x:v>0.3</x:v>
      </x:c>
      <x:c r="L3" s="10" t="str">
        <x:v>mixed</x:v>
      </x:c>
      <x:c r="M3" s="13" t="n">
        <x:v>46237</x:v>
      </x:c>
      <x:c r="N3" s="10" t="str">
        <x:v>researcher</x:v>
      </x:c>
      <x:c r="O3" s="10" t="str">
        <x:v>研究資料層教學示例</x:v>
      </x:c>
      <x:c r="P3" s="10"/>
      <x:c r="Q3" s="10" t="str">
        <x:v>draft</x:v>
      </x:c>
      <x:c r="R3" s="10" t="str">
        <x:v>synthetic_example</x:v>
      </x:c>
      <x:c r="S3" s="11" t="b">
        <x:v>1</x:v>
      </x:c>
      <x:c r="T3" s="15" t="n">
        <x:v>46237.416666666664</x:v>
      </x:c>
      <x:c r="U3" s="15" t="n">
        <x:v>46237.416666666664</x:v>
      </x:c>
      <x:c r="V3" s="10" t="str">
        <x:v>1.0.0</x:v>
      </x:c>
      <x:c r="W3" s="10" t="str">
        <x:v>僅展示 SDG 證據鏈結構，不構成 SDG 成效結論。</x:v>
      </x:c>
    </x:row>
  </x:sheetData>
  <x:pageMargins left="0.7" right="0.7" top="0.75" bottom="0.75" header="0.3" footer="0.3"/>
  <x:tableParts count="1">
    <x:tablePart xmlns:r="http://schemas.openxmlformats.org/officeDocument/2006/relationships" r:id="Ra8fba6732af541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3" hidden="0" customWidth="1"/>
    <x:col min="5" max="5" width="19" hidden="0" customWidth="1"/>
    <x:col min="6" max="6" width="16" hidden="0" customWidth="1"/>
    <x:col min="7" max="7" width="14" hidden="0" customWidth="1"/>
    <x:col min="8" max="8" width="16" hidden="0" customWidth="1"/>
    <x:col min="9" max="9" width="12" hidden="0" customWidth="1"/>
    <x:col min="10" max="10" width="14" hidden="0" customWidth="1"/>
    <x:col min="11" max="11" width="12" hidden="0" customWidth="1"/>
    <x:col min="12" max="12" width="22" hidden="0" customWidth="1"/>
    <x:col min="13" max="13" width="20" hidden="0" customWidth="1"/>
    <x:col min="14" max="14" width="15" hidden="0" customWidth="1"/>
    <x:col min="15" max="15" width="20" hidden="0" customWidth="1"/>
    <x:col min="16" max="16" width="26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2" hidden="0" customWidth="1"/>
    <x:col min="22" max="22" width="22" hidden="0" customWidth="1"/>
    <x:col min="23" max="23" width="22" hidden="0" customWidth="1"/>
    <x:col min="24" max="24" width="16" hidden="0" customWidth="1"/>
    <x:col min="25" max="25" width="28" hidden="0" customWidth="1"/>
  </x:cols>
  <x:sheetData>
    <x:row r="1" ht="34" customHeight="1">
      <x:c r="A1" s="9" t="str">
        <x:v>funding_id</x:v>
      </x:c>
      <x:c r="B1" s="9" t="str">
        <x:v>community_id</x:v>
      </x:c>
      <x:c r="C1" s="9" t="str">
        <x:v>activity_id</x:v>
      </x:c>
      <x:c r="D1" s="9" t="str">
        <x:v>fiscal_year</x:v>
      </x:c>
      <x:c r="E1" s="9" t="str">
        <x:v>program_name_zh</x:v>
      </x:c>
      <x:c r="F1" s="9" t="str">
        <x:v>funder_name_zh</x:v>
      </x:c>
      <x:c r="G1" s="9" t="str">
        <x:v>funding_type</x:v>
      </x:c>
      <x:c r="H1" s="9" t="str">
        <x:v>funding_status</x:v>
      </x:c>
      <x:c r="I1" s="9" t="str">
        <x:v>award_date</x:v>
      </x:c>
      <x:c r="J1" s="9" t="str">
        <x:v>period_start</x:v>
      </x:c>
      <x:c r="K1" s="9" t="str">
        <x:v>period_end</x:v>
      </x:c>
      <x:c r="L1" s="9" t="str">
        <x:v>amount_requested_twd</x:v>
      </x:c>
      <x:c r="M1" s="9" t="str">
        <x:v>amount_awarded_twd</x:v>
      </x:c>
      <x:c r="N1" s="9" t="str">
        <x:v>cofunding_twd</x:v>
      </x:c>
      <x:c r="O1" s="9" t="str">
        <x:v>reported_spend_twd</x:v>
      </x:c>
      <x:c r="P1" s="9" t="str">
        <x:v>public_record_identifier</x:v>
      </x:c>
      <x:c r="Q1" s="9" t="str">
        <x:v>source_title</x:v>
      </x:c>
      <x:c r="R1" s="9" t="str">
        <x:v>source_url</x:v>
      </x:c>
      <x:c r="S1" s="9" t="str">
        <x:v>record_status</x:v>
      </x:c>
      <x:c r="T1" s="9" t="str">
        <x:v>data_quality_flag</x:v>
      </x:c>
      <x:c r="U1" s="9" t="str">
        <x:v>is_example</x:v>
      </x:c>
      <x:c r="V1" s="9" t="str">
        <x:v>created_at</x:v>
      </x:c>
      <x:c r="W1" s="9" t="str">
        <x:v>updated_at</x:v>
      </x:c>
      <x:c r="X1" s="9" t="str">
        <x:v>schema_version</x:v>
      </x:c>
      <x:c r="Y1" s="9" t="str">
        <x:v>notes</x:v>
      </x:c>
    </x:row>
    <x:row r="2">
      <x:c r="A2" s="10" t="str">
        <x:v>FND-EXAMPLE-0001</x:v>
      </x:c>
      <x:c r="B2" s="10" t="str">
        <x:v>COM-0001</x:v>
      </x:c>
      <x:c r="C2" s="10" t="str">
        <x:v>ACT-EXAMPLE-0001</x:v>
      </x:c>
      <x:c r="D2" s="14" t="n">
        <x:v>2025</x:v>
      </x:c>
      <x:c r="E2" s="10" t="str">
        <x:v>社區健康促進教學示例補助（非真實）</x:v>
      </x:c>
      <x:c r="F2" s="10" t="str">
        <x:v>教學示例機構（非真實）</x:v>
      </x:c>
      <x:c r="G2" s="10" t="str">
        <x:v>subsidy</x:v>
      </x:c>
      <x:c r="H2" s="10" t="str">
        <x:v>approved</x:v>
      </x:c>
      <x:c r="I2" s="13" t="n">
        <x:v>45703</x:v>
      </x:c>
      <x:c r="J2" s="13" t="n">
        <x:v>45717</x:v>
      </x:c>
      <x:c r="K2" s="13" t="n">
        <x:v>46022</x:v>
      </x:c>
      <x:c r="L2" s="12" t="n">
        <x:v>120000</x:v>
      </x:c>
      <x:c r="M2" s="12" t="n">
        <x:v>100000</x:v>
      </x:c>
      <x:c r="N2" s="12" t="n">
        <x:v>20000</x:v>
      </x:c>
      <x:c r="O2" s="12" t="n">
        <x:v>96000</x:v>
      </x:c>
      <x:c r="P2" s="10"/>
      <x:c r="Q2" s="10" t="str">
        <x:v>研究資料層教學示例</x:v>
      </x:c>
      <x:c r="R2" s="10"/>
      <x:c r="S2" s="10" t="str">
        <x:v>draft</x:v>
      </x:c>
      <x:c r="T2" s="10" t="str">
        <x:v>synthetic_example</x:v>
      </x:c>
      <x:c r="U2" s="11" t="b">
        <x:v>1</x:v>
      </x:c>
      <x:c r="V2" s="15" t="n">
        <x:v>46237.416666666664</x:v>
      </x:c>
      <x:c r="W2" s="15" t="n">
        <x:v>46237.416666666664</x:v>
      </x:c>
      <x:c r="X2" s="10" t="str">
        <x:v>1.0.0</x:v>
      </x:c>
      <x:c r="Y2" s="10" t="str">
        <x:v>所有金額與計畫資訊均為合成範例，不得引用為實際補助。</x:v>
      </x:c>
    </x:row>
  </x:sheetData>
  <x:pageMargins left="0.7" right="0.7" top="0.75" bottom="0.75" header="0.3" footer="0.3"/>
  <x:tableParts count="1">
    <x:tablePart xmlns:r="http://schemas.openxmlformats.org/officeDocument/2006/relationships" r:id="R55f62b70700647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5" hidden="0" customWidth="1"/>
    <x:col min="4" max="4" width="23" hidden="0" customWidth="1"/>
    <x:col min="5" max="5" width="15" hidden="0" customWidth="1"/>
    <x:col min="6" max="6" width="20" hidden="0" customWidth="1"/>
    <x:col min="7" max="7" width="28" hidden="0" customWidth="1"/>
    <x:col min="8" max="8" width="31" hidden="0" customWidth="1"/>
    <x:col min="9" max="9" width="18" hidden="0" customWidth="1"/>
    <x:col min="10" max="10" width="18" hidden="0" customWidth="1"/>
    <x:col min="11" max="11" width="31" hidden="0" customWidth="1"/>
    <x:col min="12" max="12" width="13" hidden="0" customWidth="1"/>
    <x:col min="13" max="13" width="17" hidden="0" customWidth="1"/>
    <x:col min="14" max="14" width="15" hidden="0" customWidth="1"/>
    <x:col min="15" max="15" width="18" hidden="0" customWidth="1"/>
    <x:col min="16" max="16" width="23" hidden="0" customWidth="1"/>
    <x:col min="17" max="17" width="22" hidden="0" customWidth="1"/>
    <x:col min="18" max="18" width="22" hidden="0" customWidth="1"/>
    <x:col min="19" max="19" width="26" hidden="0" customWidth="1"/>
    <x:col min="20" max="20" width="15" hidden="0" customWidth="1"/>
    <x:col min="21" max="21" width="19" hidden="0" customWidth="1"/>
    <x:col min="22" max="22" width="12" hidden="0" customWidth="1"/>
    <x:col min="23" max="23" width="22" hidden="0" customWidth="1"/>
    <x:col min="24" max="24" width="22" hidden="0" customWidth="1"/>
    <x:col min="25" max="25" width="16" hidden="0" customWidth="1"/>
    <x:col min="26" max="26" width="19" hidden="0" customWidth="1"/>
  </x:cols>
  <x:sheetData>
    <x:row r="1" ht="34" customHeight="1">
      <x:c r="A1" s="9" t="str">
        <x:v>ranking_id</x:v>
      </x:c>
      <x:c r="B1" s="9" t="str">
        <x:v>community_id</x:v>
      </x:c>
      <x:c r="C1" s="9" t="str">
        <x:v>evaluation_period_start</x:v>
      </x:c>
      <x:c r="D1" s="9" t="str">
        <x:v>evaluation_period_end</x:v>
      </x:c>
      <x:c r="E1" s="9" t="str">
        <x:v>model_version</x:v>
      </x:c>
      <x:c r="F1" s="9" t="str">
        <x:v>eligibility_status</x:v>
      </x:c>
      <x:c r="G1" s="9" t="str">
        <x:v>profile_completeness_score</x:v>
      </x:c>
      <x:c r="H1" s="9" t="str">
        <x:v>community_participation_score</x:v>
      </x:c>
      <x:c r="I1" s="9" t="str">
        <x:v>sdg_impact_score</x:v>
      </x:c>
      <x:c r="J1" s="9" t="str">
        <x:v>governance_score</x:v>
      </x:c>
      <x:c r="K1" s="9" t="str">
        <x:v>resource_sustainability_score</x:v>
      </x:c>
      <x:c r="L1" s="9" t="str">
        <x:v>total_score</x:v>
      </x:c>
      <x:c r="M1" s="9" t="str">
        <x:v>rank_scope</x:v>
      </x:c>
      <x:c r="N1" s="9" t="str">
        <x:v>rank_position</x:v>
      </x:c>
      <x:c r="O1" s="9" t="str">
        <x:v>confidence_score</x:v>
      </x:c>
      <x:c r="P1" s="9" t="str">
        <x:v>evidence_record_count</x:v>
      </x:c>
      <x:c r="Q1" s="9" t="str">
        <x:v>generated_at</x:v>
      </x:c>
      <x:c r="R1" s="9" t="str">
        <x:v>model_notes</x:v>
      </x:c>
      <x:c r="S1" s="9" t="str">
        <x:v>source_methodology_url</x:v>
      </x:c>
      <x:c r="T1" s="9" t="str">
        <x:v>record_status</x:v>
      </x:c>
      <x:c r="U1" s="9" t="str">
        <x:v>data_quality_flag</x:v>
      </x:c>
      <x:c r="V1" s="9" t="str">
        <x:v>is_example</x:v>
      </x:c>
      <x:c r="W1" s="9" t="str">
        <x:v>created_at</x:v>
      </x:c>
      <x:c r="X1" s="9" t="str">
        <x:v>updated_at</x:v>
      </x:c>
      <x:c r="Y1" s="9" t="str">
        <x:v>schema_version</x:v>
      </x:c>
      <x:c r="Z1" s="9" t="str">
        <x:v>notes</x:v>
      </x:c>
    </x:row>
    <x:row r="2">
      <x:c r="A2" s="10" t="str">
        <x:v>RANK-EXAMPLE-0001</x:v>
      </x:c>
      <x:c r="B2" s="10" t="str">
        <x:v>COM-0001</x:v>
      </x:c>
      <x:c r="C2" s="13" t="n">
        <x:v>45658</x:v>
      </x:c>
      <x:c r="D2" s="13" t="n">
        <x:v>46022</x:v>
      </x:c>
      <x:c r="E2" s="10" t="str">
        <x:v>1.0.0</x:v>
      </x:c>
      <x:c r="F2" s="10" t="str">
        <x:v>provisional</x:v>
      </x:c>
      <x:c r="G2" s="12" t="n">
        <x:v>80</x:v>
      </x:c>
      <x:c r="H2" s="12" t="n">
        <x:v>72</x:v>
      </x:c>
      <x:c r="I2" s="12" t="n">
        <x:v>75</x:v>
      </x:c>
      <x:c r="J2" s="12" t="n">
        <x:v>60</x:v>
      </x:c>
      <x:c r="K2" s="12" t="n">
        <x:v>65</x:v>
      </x:c>
      <x:c r="L2" s="16" t="n">
        <x:f>ROUND(G2*0.2+H2*0.2+I2*0.25+J2*0.2+K2*0.15,1)</x:f>
        <x:v>70.9</x:v>
      </x:c>
      <x:c r="M2" s="10" t="str">
        <x:v>example_dataset</x:v>
      </x:c>
      <x:c r="N2" s="14" t="n">
        <x:v>1</x:v>
      </x:c>
      <x:c r="O2" s="12" t="n">
        <x:v>0.4</x:v>
      </x:c>
      <x:c r="P2" s="14" t="n">
        <x:v>4</x:v>
      </x:c>
      <x:c r="Q2" s="15" t="n">
        <x:v>46237.416666666664</x:v>
      </x:c>
      <x:c r="R2" s="10" t="str">
        <x:v>合成示例分數；不得視為華江社區真實評價。</x:v>
      </x:c>
      <x:c r="S2" s="10" t="str">
        <x:v>docs/evaluation-model.md</x:v>
      </x:c>
      <x:c r="T2" s="10" t="str">
        <x:v>derived</x:v>
      </x:c>
      <x:c r="U2" s="10" t="str">
        <x:v>synthetic_example</x:v>
      </x:c>
      <x:c r="V2" s="11" t="b">
        <x:v>1</x:v>
      </x:c>
      <x:c r="W2" s="15" t="n">
        <x:v>46237.416666666664</x:v>
      </x:c>
      <x:c r="X2" s="15" t="n">
        <x:v>46237.416666666664</x:v>
      </x:c>
      <x:c r="Y2" s="10" t="str">
        <x:v>1.0.0</x:v>
      </x:c>
      <x:c r="Z2" s="10" t="str">
        <x:v>僅供測試資料流程、排序與欄位型別。</x:v>
      </x:c>
    </x:row>
    <x:row r="3">
      <x:c r="A3" s="10" t="str">
        <x:v>RANK-EXAMPLE-0002</x:v>
      </x:c>
      <x:c r="B3" s="10" t="str">
        <x:v>COM-0002</x:v>
      </x:c>
      <x:c r="C3" s="13" t="n">
        <x:v>45658</x:v>
      </x:c>
      <x:c r="D3" s="13" t="n">
        <x:v>46022</x:v>
      </x:c>
      <x:c r="E3" s="10" t="str">
        <x:v>1.0.0</x:v>
      </x:c>
      <x:c r="F3" s="10" t="str">
        <x:v>provisional</x:v>
      </x:c>
      <x:c r="G3" s="12" t="n">
        <x:v>75</x:v>
      </x:c>
      <x:c r="H3" s="12" t="n">
        <x:v>68</x:v>
      </x:c>
      <x:c r="I3" s="12" t="n">
        <x:v>60</x:v>
      </x:c>
      <x:c r="J3" s="12" t="n">
        <x:v>65</x:v>
      </x:c>
      <x:c r="K3" s="12" t="n">
        <x:v>55</x:v>
      </x:c>
      <x:c r="L3" s="16" t="n">
        <x:f>ROUND(G3*0.2+H3*0.2+I3*0.25+J3*0.2+K3*0.15,1)</x:f>
        <x:v>64.9</x:v>
      </x:c>
      <x:c r="M3" s="10" t="str">
        <x:v>example_dataset</x:v>
      </x:c>
      <x:c r="N3" s="14" t="n">
        <x:v>2</x:v>
      </x:c>
      <x:c r="O3" s="12" t="n">
        <x:v>0.35</x:v>
      </x:c>
      <x:c r="P3" s="14" t="n">
        <x:v>3</x:v>
      </x:c>
      <x:c r="Q3" s="15" t="n">
        <x:v>46237.416666666664</x:v>
      </x:c>
      <x:c r="R3" s="10" t="str">
        <x:v>合成示例分數；不得視為富福社區真實評價。</x:v>
      </x:c>
      <x:c r="S3" s="10" t="str">
        <x:v>docs/evaluation-model.md</x:v>
      </x:c>
      <x:c r="T3" s="10" t="str">
        <x:v>derived</x:v>
      </x:c>
      <x:c r="U3" s="10" t="str">
        <x:v>synthetic_example</x:v>
      </x:c>
      <x:c r="V3" s="11" t="b">
        <x:v>1</x:v>
      </x:c>
      <x:c r="W3" s="15" t="n">
        <x:v>46237.416666666664</x:v>
      </x:c>
      <x:c r="X3" s="15" t="n">
        <x:v>46237.416666666664</x:v>
      </x:c>
      <x:c r="Y3" s="10" t="str">
        <x:v>1.0.0</x:v>
      </x:c>
      <x:c r="Z3" s="10" t="str">
        <x:v>僅供測試資料流程、排序與欄位型別。</x:v>
      </x:c>
    </x:row>
    <x:row r="4">
      <x:c r="A4" s="10" t="str">
        <x:v>RANK-EXAMPLE-0003</x:v>
      </x:c>
      <x:c r="B4" s="10" t="str">
        <x:v>COM-0003</x:v>
      </x:c>
      <x:c r="C4" s="13" t="n">
        <x:v>45658</x:v>
      </x:c>
      <x:c r="D4" s="13" t="n">
        <x:v>46022</x:v>
      </x:c>
      <x:c r="E4" s="10" t="str">
        <x:v>1.0.0</x:v>
      </x:c>
      <x:c r="F4" s="10" t="str">
        <x:v>provisional</x:v>
      </x:c>
      <x:c r="G4" s="12" t="n">
        <x:v>70</x:v>
      </x:c>
      <x:c r="H4" s="12" t="n">
        <x:v>60</x:v>
      </x:c>
      <x:c r="I4" s="12" t="n">
        <x:v>55</x:v>
      </x:c>
      <x:c r="J4" s="12" t="n">
        <x:v>58</x:v>
      </x:c>
      <x:c r="K4" s="12" t="n">
        <x:v>50</x:v>
      </x:c>
      <x:c r="L4" s="16" t="n">
        <x:f>ROUND(G4*0.2+H4*0.2+I4*0.25+J4*0.2+K4*0.15,1)</x:f>
        <x:v>58.9</x:v>
      </x:c>
      <x:c r="M4" s="10" t="str">
        <x:v>example_dataset</x:v>
      </x:c>
      <x:c r="N4" s="14" t="n">
        <x:v>3</x:v>
      </x:c>
      <x:c r="O4" s="12" t="n">
        <x:v>0.3</x:v>
      </x:c>
      <x:c r="P4" s="14" t="n">
        <x:v>2</x:v>
      </x:c>
      <x:c r="Q4" s="15" t="n">
        <x:v>46237.416666666664</x:v>
      </x:c>
      <x:c r="R4" s="10" t="str">
        <x:v>合成示例分數；不得視為雙園社區真實評價。</x:v>
      </x:c>
      <x:c r="S4" s="10" t="str">
        <x:v>docs/evaluation-model.md</x:v>
      </x:c>
      <x:c r="T4" s="10" t="str">
        <x:v>derived</x:v>
      </x:c>
      <x:c r="U4" s="10" t="str">
        <x:v>synthetic_example</x:v>
      </x:c>
      <x:c r="V4" s="11" t="b">
        <x:v>1</x:v>
      </x:c>
      <x:c r="W4" s="15" t="n">
        <x:v>46237.416666666664</x:v>
      </x:c>
      <x:c r="X4" s="15" t="n">
        <x:v>46237.416666666664</x:v>
      </x:c>
      <x:c r="Y4" s="10" t="str">
        <x:v>1.0.0</x:v>
      </x:c>
      <x:c r="Z4" s="10" t="str">
        <x:v>僅供測試資料流程、排序與欄位型別。</x:v>
      </x:c>
    </x:row>
  </x:sheetData>
  <x:pageMargins left="0.7" right="0.7" top="0.75" bottom="0.75" header="0.3" footer="0.3"/>
  <x:tableParts count="1">
    <x:tablePart xmlns:r="http://schemas.openxmlformats.org/officeDocument/2006/relationships" r:id="Rc0ca91f2d112498f"/>
  </x:tableParts>
</x:worksheet>
</file>